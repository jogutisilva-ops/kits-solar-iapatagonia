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Valores kits y cotizado" sheetId="1" r:id="rId4"/>
    <sheet state="visible" name="BBDD conjunta" sheetId="2" r:id="rId5"/>
    <sheet state="visible" name="tablas de Precios kit BBDD Prod" sheetId="3" r:id="rId6"/>
    <sheet state="visible" name="DARTEL" sheetId="4" r:id="rId7"/>
  </sheets>
  <definedNames>
    <definedName hidden="1" localSheetId="2" name="_xlnm._FilterDatabase">'tablas de Precios kit BBDD Prod'!$A$1:$AG$112</definedName>
  </definedNames>
  <calcPr/>
  <extLst>
    <ext uri="GoogleSheetsCustomDataVersion2">
      <go:sheetsCustomData xmlns:go="http://customooxmlschemas.google.com/" r:id="rId8" roundtripDataChecksum="e5w3fDnjqGJl/PqucwNNMyaDUSW0WLfUj7KQXnTFHo8="/>
    </ext>
  </extLst>
</workbook>
</file>

<file path=xl/sharedStrings.xml><?xml version="1.0" encoding="utf-8"?>
<sst xmlns="http://schemas.openxmlformats.org/spreadsheetml/2006/main" count="1176" uniqueCount="357">
  <si>
    <t>Kits GoodWe</t>
  </si>
  <si>
    <t>GOODWE</t>
  </si>
  <si>
    <t xml:space="preserve">Potencia </t>
  </si>
  <si>
    <t>Total iva incl.</t>
  </si>
  <si>
    <t>Columna 1</t>
  </si>
  <si>
    <t>Descripcion</t>
  </si>
  <si>
    <t>Marca</t>
  </si>
  <si>
    <t>Modelo</t>
  </si>
  <si>
    <t>Valor</t>
  </si>
  <si>
    <t>cantidad</t>
  </si>
  <si>
    <t>Total</t>
  </si>
  <si>
    <t>ON GRID</t>
  </si>
  <si>
    <t>3kW</t>
  </si>
  <si>
    <t>Inversor</t>
  </si>
  <si>
    <t>SUN2000 -4KTL-L1</t>
  </si>
  <si>
    <t xml:space="preserve">4.2kW  </t>
  </si>
  <si>
    <t>Panel</t>
  </si>
  <si>
    <t>Panel Bifacial Trina Solar 715Wp</t>
  </si>
  <si>
    <t>5kW</t>
  </si>
  <si>
    <t>Bateria</t>
  </si>
  <si>
    <t>LUNA2000-5-E0 5KWH</t>
  </si>
  <si>
    <t>6kW</t>
  </si>
  <si>
    <t>Accesorios</t>
  </si>
  <si>
    <t>LUNA2000-5KW-CO</t>
  </si>
  <si>
    <t>8.5kW</t>
  </si>
  <si>
    <t>BACKUP BOX-B0</t>
  </si>
  <si>
    <t>10kW</t>
  </si>
  <si>
    <t>SDongleA-05</t>
  </si>
  <si>
    <t>DDSU666-H</t>
  </si>
  <si>
    <t>HIBRIDOS</t>
  </si>
  <si>
    <t xml:space="preserve">3.6kW  </t>
  </si>
  <si>
    <t>8kW</t>
  </si>
  <si>
    <t>12kW</t>
  </si>
  <si>
    <t>Kits HUAWEI</t>
  </si>
  <si>
    <t>HUAWEI</t>
  </si>
  <si>
    <t>2kW</t>
  </si>
  <si>
    <t>4kW</t>
  </si>
  <si>
    <t>ON-GRID</t>
  </si>
  <si>
    <t>IVA</t>
  </si>
  <si>
    <t>Componentes del kit</t>
  </si>
  <si>
    <t>Modulos FV</t>
  </si>
  <si>
    <t xml:space="preserve">Inversor </t>
  </si>
  <si>
    <t>Riel 5m</t>
  </si>
  <si>
    <t>Fijación Tipo L Madera</t>
  </si>
  <si>
    <t>Copla Riel Reforzado</t>
  </si>
  <si>
    <t>Clams medio</t>
  </si>
  <si>
    <t>Clams final</t>
  </si>
  <si>
    <t>MC4 macho</t>
  </si>
  <si>
    <t>MC4 hembra</t>
  </si>
  <si>
    <t>Cable solar rojo 6mm</t>
  </si>
  <si>
    <t>Cable solar negro 6mm</t>
  </si>
  <si>
    <t>Margen</t>
  </si>
  <si>
    <t>total</t>
  </si>
  <si>
    <t>Panel solar bifacial Trina Solar 610Wp</t>
  </si>
  <si>
    <t>Trina Solar</t>
  </si>
  <si>
    <t>TSM NEG19RC.20 610Wp</t>
  </si>
  <si>
    <t>Panel solar bifacial Trina Solar 605Wp</t>
  </si>
  <si>
    <t>TSM NEG19RC.20 605Wp</t>
  </si>
  <si>
    <t>Panel solar bifacial Trina Solar 705Wp</t>
  </si>
  <si>
    <t>TSM NEG21C.20 705Wp</t>
  </si>
  <si>
    <t>Panel solar bifacial Trina Solar 700Wp</t>
  </si>
  <si>
    <t>TSM NEG21C.20 700Wp</t>
  </si>
  <si>
    <t>TSM NEG21C.20 715Wp</t>
  </si>
  <si>
    <t>Panel Solar Bifacial JA Solar 615Wp</t>
  </si>
  <si>
    <t>JA Solar</t>
  </si>
  <si>
    <t>JAM66D45LB 615Wp</t>
  </si>
  <si>
    <t>Panel Solar Bifacial JA Solar 715Wp</t>
  </si>
  <si>
    <t>JAM66D45LB 715Wp</t>
  </si>
  <si>
    <t>Conector MC4 macho original Trina Solar</t>
  </si>
  <si>
    <t>MC4 Trina Solar Macho</t>
  </si>
  <si>
    <t>Conector MC4 hembra original Trina Solar</t>
  </si>
  <si>
    <t>MC4 Trina Solar Hembra</t>
  </si>
  <si>
    <r>
      <rPr>
        <rFont val="Aptos Narrow"/>
        <color theme="1"/>
        <sz val="11.0"/>
      </rPr>
      <t xml:space="preserve">GoodWe licencia activación SERIE </t>
    </r>
    <r>
      <rPr>
        <rFont val="Aptos Narrow"/>
        <b/>
        <color theme="1"/>
        <sz val="11.0"/>
      </rPr>
      <t>ES- 20</t>
    </r>
  </si>
  <si>
    <t>GoodWe</t>
  </si>
  <si>
    <t>Activation Code to: GW....-ES-20 
[Híbrido FLEX]</t>
  </si>
  <si>
    <r>
      <rPr>
        <rFont val="Aptos Narrow"/>
        <color theme="1"/>
        <sz val="11.0"/>
      </rPr>
      <t xml:space="preserve">GoodWe licencia activación SERIE </t>
    </r>
    <r>
      <rPr>
        <rFont val="Aptos Narrow"/>
        <b/>
        <color theme="1"/>
        <sz val="11.0"/>
      </rPr>
      <t xml:space="preserve">ET-20 </t>
    </r>
  </si>
  <si>
    <t>Activation Code to: GW....-ET-20
[Híbrido FLEX]</t>
  </si>
  <si>
    <r>
      <rPr>
        <rFont val="Aptos Narrow"/>
        <color theme="1"/>
        <sz val="11.0"/>
      </rPr>
      <t xml:space="preserve">GoodWe licencia activación SERIE </t>
    </r>
    <r>
      <rPr>
        <rFont val="Aptos Narrow"/>
        <b/>
        <color theme="1"/>
        <sz val="11.0"/>
      </rPr>
      <t>ET</t>
    </r>
  </si>
  <si>
    <t>Activation Code to: GW....-ET[Híbrido FLEX]</t>
  </si>
  <si>
    <t>GoodWe Equipo Transferencia Estatica 200A</t>
  </si>
  <si>
    <t>STS200-80-10</t>
  </si>
  <si>
    <t>GoodWe Equipo Transferencia Estatica 125kW</t>
  </si>
  <si>
    <t>GW125K-STS-G10</t>
  </si>
  <si>
    <t xml:space="preserve">Inversor On Grid Monofásico GoodWe 3kW – 2 MPPT </t>
  </si>
  <si>
    <t>GW3000-DNS-30</t>
  </si>
  <si>
    <t>Inversor On Grid Monofásico GoodWe 4.2kW – 2 MPPT</t>
  </si>
  <si>
    <t>GW4200-DNS-30</t>
  </si>
  <si>
    <t>Inversor On Grid Monofásico GoodWe 5kW – 2 MPPT</t>
  </si>
  <si>
    <t>GW5000-DNS-30</t>
  </si>
  <si>
    <t>Inversor On Grid Monofásico GoodWe 6kW – 3 MPPT</t>
  </si>
  <si>
    <t>GW6000-MS-30</t>
  </si>
  <si>
    <t>Inversor On Grid Monofásico GoodWe 8.5kW – 3 MPPT</t>
  </si>
  <si>
    <t>GW8500-MS-30</t>
  </si>
  <si>
    <t>Inversor On Grid Monofásico GoodWe 10kW – 3 MPPT</t>
  </si>
  <si>
    <t>GW10K-MS-30</t>
  </si>
  <si>
    <t>Inversor On Grid Trifásico GoodWe 12kW – 2 MPPT</t>
  </si>
  <si>
    <t>GW12K-SDT-30</t>
  </si>
  <si>
    <t>Inversor On Grid Trifásico GoodWe 25kW – 3 MPPT</t>
  </si>
  <si>
    <t>GW25K-SDT-C30</t>
  </si>
  <si>
    <t>Inversor On Grid Trifásico GoodWe 50kW –  5 MPPT</t>
  </si>
  <si>
    <t>GW50KS-MT</t>
  </si>
  <si>
    <t>GW50K-SDT-C30</t>
  </si>
  <si>
    <t>Inversor On Grid Trifásico GoodWe 100kW – 8 MPPT</t>
  </si>
  <si>
    <t>GW100K-GT</t>
  </si>
  <si>
    <t>Inversor On Grid Trifásico GoodWe 125kW – 8 MPPT</t>
  </si>
  <si>
    <t>GW125K-GT</t>
  </si>
  <si>
    <t>Inversor Híbrido Trifásico GoodWe 15kW Híbrido – 3 MPPT</t>
  </si>
  <si>
    <t>GW15K-ET-20</t>
  </si>
  <si>
    <t>Inversor Híbrido Monofásico GoodWe 3kW Híbrido – 2 MPPT</t>
  </si>
  <si>
    <t>GW3000-ES-20</t>
  </si>
  <si>
    <t>Inversor Híbrido Monofásico GoodWe 3,6kW Híbrido – 2 MPPT</t>
  </si>
  <si>
    <t>GW3600-ES-20</t>
  </si>
  <si>
    <t>Inversor Híbrido Monofásico GoodWe 5kW Híbrido – 2 MPPT</t>
  </si>
  <si>
    <t>GW5000-ES-20</t>
  </si>
  <si>
    <t>Inversor Híbrido Monofásico GoodWe 6kW Híbrido – 2 MPPT</t>
  </si>
  <si>
    <t>GW6000-ES-20</t>
  </si>
  <si>
    <t>Inversor Híbrido Monofásico GoodWe 8kW Híbrido – 2 MPPT</t>
  </si>
  <si>
    <t>GW8000-ES-C10</t>
  </si>
  <si>
    <t>Inversor Híbrido Monofásico GoodWe 10kW Híbrido – 2 MPPT</t>
  </si>
  <si>
    <t>GW10K-ES-C10</t>
  </si>
  <si>
    <t>Inversor Híbrido Monofásico GoodWe 12kW Híbrido – 2 MPPT</t>
  </si>
  <si>
    <t>GW12K-ES-C10</t>
  </si>
  <si>
    <t>Inversor Híbrido Monofásico GoodWe 3kW Híbrido FLEX – 2 MPPT</t>
  </si>
  <si>
    <t>GW3000-ES-20  Híbrido FLEX</t>
  </si>
  <si>
    <t>Inversor Híbrido Monofásico GoodWe 5kW Híbrido FLEX – 2 MPPT</t>
  </si>
  <si>
    <t>GW5000-ES-20  Híbrido FLEX</t>
  </si>
  <si>
    <t>Inversor Híbrido Monofásico GoodWe 6kW Híbrido FLEX – 2 MPPT</t>
  </si>
  <si>
    <t>GW6000-ES-20  Híbrido FLEX</t>
  </si>
  <si>
    <t>Inversor Híbrido Trifásico GoodWe 10kW Híbrido FLEX – 3 MPPT</t>
  </si>
  <si>
    <t>GW10K-ET-20  Híbrido FLEX</t>
  </si>
  <si>
    <t>Inversor Híbrido Trifásico GoodWe 12kW Híbrido FLEX – 3 MPPT</t>
  </si>
  <si>
    <t>GW12K-ET-20  Híbrido FLEX</t>
  </si>
  <si>
    <t>Inversor Híbrido Trifásico GoodWe 15kW Híbrido FLEX – 3 MPPT</t>
  </si>
  <si>
    <t>GW15K-ET-20  Híbrido FLEX</t>
  </si>
  <si>
    <t>Inversor Híbrido Trifásico GoodWe 20kW Híbrido FLEX – 3 MPPT</t>
  </si>
  <si>
    <t>GW20K-ET  Híbrido FLEX</t>
  </si>
  <si>
    <t>Inversor Híbrido Trifásico GoodWe 25kW Híbrido FLEX – 3 MPPT</t>
  </si>
  <si>
    <t>GW25K-ET  Híbrido FLEX</t>
  </si>
  <si>
    <t>Inversor Híbrido Trifásico GoodWe 30kW Híbrido FLEX – 3 MPPT</t>
  </si>
  <si>
    <t>GW30K-ET  Híbrido FLEX</t>
  </si>
  <si>
    <t>Inversor Híbrido Trifásico GoodWe 50kW Híbrido – 4 MPPT</t>
  </si>
  <si>
    <t>GW40K-ET-10 Híbrido</t>
  </si>
  <si>
    <t>GW50K-ET-10 Híbrido</t>
  </si>
  <si>
    <t>Inversor Híbrido Trifásico GoodWe 80kW Híbrido – 4 MPPT</t>
  </si>
  <si>
    <t>GW80K-ET-G10</t>
  </si>
  <si>
    <t>Inversor Híbrido Trifásico GoodWe 100kW Híbrido – 4 MPPT</t>
  </si>
  <si>
    <t>GW100K-ET-G10</t>
  </si>
  <si>
    <t>SUN2000 -2KTL-L1</t>
  </si>
  <si>
    <t>Huawei</t>
  </si>
  <si>
    <t>INVERSOR HUAWEI ON GRID HIBRIDO MONOFASICO</t>
  </si>
  <si>
    <t>SUN2000 -6KTL-L1</t>
  </si>
  <si>
    <t>SUN2000-6KTL-M1</t>
  </si>
  <si>
    <t>INVERSOR HUAWEI ON GRID 6KW TRIFASICO</t>
  </si>
  <si>
    <t>SUN2000-8KTL-M1</t>
  </si>
  <si>
    <t>INVERSOR HUAWEI ON GRID 8KW TRIFASICO</t>
  </si>
  <si>
    <t>SUN2000-10KTL-M1</t>
  </si>
  <si>
    <t>INVERSOR HUAWEI ON GRID 10KW TRIFASICO</t>
  </si>
  <si>
    <t>SUN2000-17KTL-M2</t>
  </si>
  <si>
    <t>INVERSOR HUAWEI ON GRID 17KW TRIFASICO</t>
  </si>
  <si>
    <t>SUN2000-36KTL-M3</t>
  </si>
  <si>
    <t>INVERSOR HUAWEI ON GRID 36KW TRIFASICO</t>
  </si>
  <si>
    <t>SUN2000-40KTL-M3</t>
  </si>
  <si>
    <t>INVERSOR HUAWEI ON GRID 40 KW TRIFASICO</t>
  </si>
  <si>
    <t>HUAWEI BATERIA DE LITIO LUNA2OOO 5KWH</t>
  </si>
  <si>
    <t>MODULO DE POTENCIA PARA BATERIA DE LITIO</t>
  </si>
  <si>
    <t>HUAWEI BACKUP BOX-B0 MONOFASICO</t>
  </si>
  <si>
    <t>HUAWEI SMART DONGLE WLAN FE</t>
  </si>
  <si>
    <t>SDONGLEA-03-AU</t>
  </si>
  <si>
    <t>HUAWEI SMART DONGLE 4G</t>
  </si>
  <si>
    <t>HUAWEI SMART POWER SENSOR DDSU666-H</t>
  </si>
  <si>
    <t>72HL4-BDV</t>
  </si>
  <si>
    <t>JINKO</t>
  </si>
  <si>
    <t>PANEL FOTOVOLTAICO 585W JINKO SOLAR</t>
  </si>
  <si>
    <t>GoodWe batería Lynx U 5kWh c/ supresión(EXTERIOR)</t>
  </si>
  <si>
    <t xml:space="preserve">LX U5.0-30 (with fire
suppression) </t>
  </si>
  <si>
    <t>GoodWe batería Lynx A 5kWh mural(INTERIOR)</t>
  </si>
  <si>
    <t>LX A5.0-30 w/ Wall-Mounted Accessory Pack</t>
  </si>
  <si>
    <t>GoodWe batería Lynx A 5kWh suelo(INTERIOR c/Rack)</t>
  </si>
  <si>
    <t>LX A5.0-30 [New appearence]
w/ Floor-Mounted Accessory</t>
  </si>
  <si>
    <t>Batería LV 14,3kWh - 51V(Interior)</t>
  </si>
  <si>
    <t xml:space="preserve">GW14.3-BAT-LV-G10
[with aerosol]
</t>
  </si>
  <si>
    <t>GoodWe batería Lynx D 5kWh HV</t>
  </si>
  <si>
    <t>LX D5.0-10</t>
  </si>
  <si>
    <t>GoodWe soporte mural Lynx D</t>
  </si>
  <si>
    <t>Soporte Batería LynxD Muro</t>
  </si>
  <si>
    <t>GoodWe soporte piso Lynx D</t>
  </si>
  <si>
    <t>Soporte Batería LynxD Piso</t>
  </si>
  <si>
    <t>Bateria GoodWe HV 51kWh IP22</t>
  </si>
  <si>
    <t>GW5.1-BAT-I-G10 with aerosol</t>
  </si>
  <si>
    <t>Batería GoodWe HV  61,4kWh IP55</t>
  </si>
  <si>
    <t>GW61.4-BAT-AC-G10</t>
  </si>
  <si>
    <t>GoodWe batería 102kWh- Crate 1.1</t>
  </si>
  <si>
    <t>GW102.4-BAT-AC-G10</t>
  </si>
  <si>
    <t>BUSBAR 360A</t>
  </si>
  <si>
    <t>BCB-11-WW-0</t>
  </si>
  <si>
    <t>BUSBAR 720a</t>
  </si>
  <si>
    <t>BCB-22-WW-0</t>
  </si>
  <si>
    <t>Cargador VE GoodWe 32A Monofásico</t>
  </si>
  <si>
    <t>GW7K-HCA-20 [w/ 6m power cable]</t>
  </si>
  <si>
    <t xml:space="preserve">Smart Meter </t>
  </si>
  <si>
    <t>SEC3000C</t>
  </si>
  <si>
    <t>Dongle de comunicación para conexión en paralelo inversores ES G2 &amp; ES Uniq</t>
  </si>
  <si>
    <t>EZ_Link: (Dongle for ES G2 &amp; ES Uniq parallel)</t>
  </si>
  <si>
    <t>Medidor inteligente trifásico GoodWe GM330</t>
  </si>
  <si>
    <t>GoodWe GM330</t>
  </si>
  <si>
    <t>Medidor inteligente monofásico GoodWe GMK110</t>
  </si>
  <si>
    <t>GoodWe GMK110</t>
  </si>
  <si>
    <t>Módulo de comunicación 4G para monitoreo remoto GoodWe</t>
  </si>
  <si>
    <t>4G Module</t>
  </si>
  <si>
    <t>Categoría</t>
  </si>
  <si>
    <t>SAP</t>
  </si>
  <si>
    <t>Precio (neto)</t>
  </si>
  <si>
    <t>Paneles Solares</t>
  </si>
  <si>
    <t>GOODWE Kit 3kW hibrido 5kWh</t>
  </si>
  <si>
    <t>GOODWE Kit 3.6kW hibrido 5kWh</t>
  </si>
  <si>
    <t>GOODWE Kit 5kW hibrido 5kWh</t>
  </si>
  <si>
    <t>GOODWE Kit 6kW hibrido 5kWh</t>
  </si>
  <si>
    <t>GOODWE Kit 8.5kW hibrido 10kWh</t>
  </si>
  <si>
    <t>GOODWE Kit 10kW hibrido 10kWh</t>
  </si>
  <si>
    <t>GOODWE Kit 12kW hibrido 10kWh</t>
  </si>
  <si>
    <t>Conector MC4</t>
  </si>
  <si>
    <t>unidad</t>
  </si>
  <si>
    <t>Inversores</t>
  </si>
  <si>
    <r>
      <rPr>
        <rFont val="Aptos Narrow"/>
        <color theme="1"/>
        <sz val="11.0"/>
      </rPr>
      <t xml:space="preserve">GoodWe licencia activación SERIE </t>
    </r>
    <r>
      <rPr>
        <rFont val="Aptos Narrow"/>
        <b/>
        <color theme="1"/>
        <sz val="11.0"/>
      </rPr>
      <t>ES- 20</t>
    </r>
  </si>
  <si>
    <t>Trina Solar 715Wp</t>
  </si>
  <si>
    <t>modulos 715W</t>
  </si>
  <si>
    <r>
      <rPr>
        <rFont val="Aptos Narrow"/>
        <color theme="1"/>
        <sz val="11.0"/>
      </rPr>
      <t xml:space="preserve">GoodWe licencia activación SERIE </t>
    </r>
    <r>
      <rPr>
        <rFont val="Aptos Narrow"/>
        <b/>
        <color theme="1"/>
        <sz val="11.0"/>
      </rPr>
      <t xml:space="preserve">ET-20 </t>
    </r>
  </si>
  <si>
    <t>Inversor 3kW hibrido</t>
  </si>
  <si>
    <t>Inversor 3.6kW hibrido</t>
  </si>
  <si>
    <t>Inversor 5kW hibrido</t>
  </si>
  <si>
    <t>Inversor 6kW hibrido</t>
  </si>
  <si>
    <t>Inversor 8.5kW hibrido</t>
  </si>
  <si>
    <t>Inversor 10kW hibrido</t>
  </si>
  <si>
    <t>Inversor 12kW hibrido</t>
  </si>
  <si>
    <r>
      <rPr>
        <rFont val="Aptos Narrow"/>
        <color theme="1"/>
        <sz val="11.0"/>
      </rPr>
      <t xml:space="preserve">GoodWe licencia activación SERIE </t>
    </r>
    <r>
      <rPr>
        <rFont val="Aptos Narrow"/>
        <b/>
        <color theme="1"/>
        <sz val="11.0"/>
      </rPr>
      <t>ET</t>
    </r>
  </si>
  <si>
    <t>Bateria 5kWh</t>
  </si>
  <si>
    <t>neto</t>
  </si>
  <si>
    <t>iva incluido</t>
  </si>
  <si>
    <t>margen 25%</t>
  </si>
  <si>
    <t xml:space="preserve">Total </t>
  </si>
  <si>
    <t xml:space="preserve">GOODWE Kit 3kW on grid </t>
  </si>
  <si>
    <t xml:space="preserve">GOODWE Kit 4.2kW on grid </t>
  </si>
  <si>
    <t>GOODWE Kit 5kW ON-Grid</t>
  </si>
  <si>
    <t>GOODWE Kit 6kW ON-Grid</t>
  </si>
  <si>
    <t xml:space="preserve">GOODWE Kit 8.5kW On-Grid </t>
  </si>
  <si>
    <t xml:space="preserve">GOODWE Kit 10kW On-Grid </t>
  </si>
  <si>
    <t>GW5.1-BAT-I-G10
with aerosol</t>
  </si>
  <si>
    <t>HUAWEI Kit 2kW hibrido 5kWh</t>
  </si>
  <si>
    <t>HUAWEI Kit 4kW hibrido 5kWh</t>
  </si>
  <si>
    <t>HUAWEI Kit 6kW hibrido 5kWh</t>
  </si>
  <si>
    <t>Comunicación Y Smart Controller</t>
  </si>
  <si>
    <t>Racking</t>
  </si>
  <si>
    <t>Prodalam</t>
  </si>
  <si>
    <t>Fijacion Techo Emballetado</t>
  </si>
  <si>
    <t>Conector Riel PV4/Emballetado</t>
  </si>
  <si>
    <t>Anclaje Teja tipo Z</t>
  </si>
  <si>
    <t>Teja Chilena Tirafondo</t>
  </si>
  <si>
    <t>Pata Delantera Base Ajustable</t>
  </si>
  <si>
    <t>Pata Trasera 10° to 20° Ajustable</t>
  </si>
  <si>
    <t>Pata Trasera 15° to 30° Ajustable</t>
  </si>
  <si>
    <t>Pata Trasera  25° to 40° Ajustable</t>
  </si>
  <si>
    <t>Triangulo 15° Al Soporte (incluye clamps riel)</t>
  </si>
  <si>
    <t>Triangulo 24° Al Soporte (incluye clamps riel)</t>
  </si>
  <si>
    <t>Fijacion PV4</t>
  </si>
  <si>
    <t>Clamp Final 30mm - 35mm</t>
  </si>
  <si>
    <t>Clamp Medio 30mm - 35mm</t>
  </si>
  <si>
    <t>Anclaje Puesta a Tierra Cobre</t>
  </si>
  <si>
    <t>Riel Aluminio 5000mm(reforzado)</t>
  </si>
  <si>
    <t xml:space="preserve">HUAWEI Kit 2kW OnGrid </t>
  </si>
  <si>
    <t>HUAWEI Kit 4kW OnGrid</t>
  </si>
  <si>
    <t>HUAWEI Kit 6kW OnGrid</t>
  </si>
  <si>
    <t>Anclaje Base ajustable a PV4 o Emballetado</t>
  </si>
  <si>
    <t>Clamp Riel</t>
  </si>
  <si>
    <t>Monopilar panel 2,3m*1,1m</t>
  </si>
  <si>
    <t>Monopilar panel 2,4m*1,34m</t>
  </si>
  <si>
    <t>Biposte 2x6( panel de 2,3x1,1)</t>
  </si>
  <si>
    <t>Biposte 2x6( panel de 2,4x1,3)</t>
  </si>
  <si>
    <t>Rail Connector LVG15</t>
  </si>
  <si>
    <t>GroundLug for LV-G15</t>
  </si>
  <si>
    <t>Pasillo Técnico Fibra 3 metros</t>
  </si>
  <si>
    <t>End clamp Pasillo Técnico</t>
  </si>
  <si>
    <t>Grapa Tipo C Pasillo Tecnico</t>
  </si>
  <si>
    <t>Riel Pasillo Técnico 375mm</t>
  </si>
  <si>
    <t>Cable Solar</t>
  </si>
  <si>
    <t>PN Cables</t>
  </si>
  <si>
    <t>Rollo Cable Solar 6mm 50m Negro</t>
  </si>
  <si>
    <t>Rollo Cable Solar 6mm 50m Rojo</t>
  </si>
  <si>
    <t>Carrete Cable Solar 6mm 100m Negro</t>
  </si>
  <si>
    <t>Carrete Cable Solar 6mm 100m Rojo</t>
  </si>
  <si>
    <t>Rollo Cable Solar 4mm 50m Negro</t>
  </si>
  <si>
    <t>Rollo Cable Solar 4mm 50m Rojo</t>
  </si>
  <si>
    <t>Carrete Cable Solar 4mm 100m Negro</t>
  </si>
  <si>
    <t>Carrete Cable Solar 4mm 100m Rojo</t>
  </si>
  <si>
    <t>4mmrollonegro250m</t>
  </si>
  <si>
    <t>4mmrollorojo250m</t>
  </si>
  <si>
    <t>6mmrollonegro200m</t>
  </si>
  <si>
    <t>6mmrollorojo200m</t>
  </si>
  <si>
    <t>Rollo Negro 6mm x 600m</t>
  </si>
  <si>
    <t>Rollo Rojo 6mm x 600m</t>
  </si>
  <si>
    <t>Cable Baterías 2 AWG (35 mm²)(x metro)</t>
  </si>
  <si>
    <t>Rollo 100m Cable Verde 1x6mm2</t>
  </si>
  <si>
    <t>#</t>
  </si>
  <si>
    <t>Producto</t>
  </si>
  <si>
    <t>Descripción</t>
  </si>
  <si>
    <t>Fecha de entrega</t>
  </si>
  <si>
    <t>Catalogo</t>
  </si>
  <si>
    <t>Cantidad</t>
  </si>
  <si>
    <t>Precio Unitario</t>
  </si>
  <si>
    <t>INVERSOR HUAWEI ON GRID HIBRIDO MONOFASI</t>
  </si>
  <si>
    <t>Consultar</t>
  </si>
  <si>
    <t>INVERSOR HUAWEI ON GRID 6KW TRIFASICO SU</t>
  </si>
  <si>
    <t>INVERSOR HUAWEI ON GRID 8KW TRIFASICO SU</t>
  </si>
  <si>
    <t>INVERSOR HUAWEI ON GRID 10KW TRIFASICO S</t>
  </si>
  <si>
    <t>INVERSOR HUAWEI ON GRID 17KW TRIFASICO S</t>
  </si>
  <si>
    <t>INVERSOR HUAWEI ON GRID 36KW TRIFASICO S</t>
  </si>
  <si>
    <t>HUAWEI SMARTACU-2000D-1MBUS-1PID</t>
  </si>
  <si>
    <t>SMARTACU-2000D-1MBUS-1PID</t>
  </si>
  <si>
    <t>Inmediato</t>
  </si>
  <si>
    <t xml:space="preserve">HUAWEI </t>
  </si>
  <si>
    <t>SUN2000-6KTL-L1</t>
  </si>
  <si>
    <t>Baterías</t>
  </si>
  <si>
    <t>LUNA2000-5-E0 5KW</t>
  </si>
  <si>
    <t>LUNA2000-5KWCO</t>
  </si>
  <si>
    <t>MODULO DE POTENCIA PAR BATERIA DE LITIO</t>
  </si>
  <si>
    <t>RIEL DE ALUMINIO 3405MM UI R2</t>
  </si>
  <si>
    <t>UI-R2-3405</t>
  </si>
  <si>
    <t>RIEL DE ALUMINIO 4200MM UI R2</t>
  </si>
  <si>
    <t>UI-R2-4200</t>
  </si>
  <si>
    <t>CONECTOR RIEL UI R2</t>
  </si>
  <si>
    <t>UN-RC-47</t>
  </si>
  <si>
    <t>CONECTOR DE PUESTA A TIERRA A2</t>
  </si>
  <si>
    <t>UN-GL</t>
  </si>
  <si>
    <t>CONDUIT EMT IEC 32mm 1.4mm 4322</t>
  </si>
  <si>
    <t>CAJA UNIV A-11 KO 100X100X65 (HG)</t>
  </si>
  <si>
    <t>CABLE RV-K POWERFLEX 1x 4.0mm2 1KV NG</t>
  </si>
  <si>
    <t>3301004,</t>
  </si>
  <si>
    <t>CABLE SOLAR 6MM NEGRO PRYSUN 1,8KV</t>
  </si>
  <si>
    <t>CABLE SOLAR 6MM ROJO PRYSUN 1,8KV</t>
  </si>
  <si>
    <t>PRENSA ESTOPA PG 9 4.0 a 8.0mm GRIS FNX</t>
  </si>
  <si>
    <t>CONECTOR FOTOVOLTAICO MC4 MACHO/HEMBRA 1</t>
  </si>
  <si>
    <t>PRYSUN</t>
  </si>
  <si>
    <t>CABLE SOLAR 4MM ROJO</t>
  </si>
  <si>
    <t>CABLE SOLAR 4MM NEGRO</t>
  </si>
  <si>
    <t>INT AUTOMATICO 2x  32A C 10KA iC60N</t>
  </si>
  <si>
    <t>A9F77232</t>
  </si>
  <si>
    <t>INT DIFERENCIAL 2x  40A  30mA 2P</t>
  </si>
  <si>
    <t>A9R71240</t>
  </si>
  <si>
    <t>REGLETA TIERRA DIN   8Px16mm (L)</t>
  </si>
  <si>
    <t>FERRUL AIS NEGRO 6.00mm 10AWGx100u</t>
  </si>
  <si>
    <t>CABLE RV-K POWERFLEX 3x 6.0mm2 1KV NG</t>
  </si>
  <si>
    <t>3303006G</t>
  </si>
  <si>
    <t>PRENSA EST PG 21 13.0 a 18.0mm GRIS FNX</t>
  </si>
  <si>
    <t>TABL S/P P/TRANSP L/HALOG 18 MOD</t>
  </si>
  <si>
    <t>HUAWEI SMART POWER SENSOR</t>
  </si>
  <si>
    <t>REPARTIDOR MOD BIPOLAR 100/125A 7P</t>
  </si>
  <si>
    <t>INT AUTOMATICO 1x 25A C 10KA iC60N</t>
  </si>
  <si>
    <t>A9F77125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</si>
</sst>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"/>
    <numFmt numFmtId="165" formatCode="_ &quot;$&quot;* #,##0_ ;_ &quot;$&quot;* \-#,##0_ ;_ &quot;$&quot;* &quot;-&quot;_ ;_ @_ "/>
    <numFmt numFmtId="166" formatCode="&quot;$&quot;#,##0.00"/>
    <numFmt numFmtId="167" formatCode="[$$]#,##0"/>
  </numFmts>
  <fonts count="18">
    <font>
      <sz val="11.0"/>
      <color theme="1"/>
      <name val="Aptos Narrow"/>
      <scheme val="minor"/>
    </font>
    <font>
      <color theme="1"/>
      <name val="Aptos Narrow"/>
      <scheme val="minor"/>
    </font>
    <font>
      <b/>
      <color theme="1"/>
      <name val="Arial"/>
    </font>
    <font/>
    <font>
      <b/>
      <sz val="18.0"/>
      <color theme="1"/>
      <name val="Arial"/>
    </font>
    <font>
      <color theme="1"/>
      <name val="Arial"/>
    </font>
    <font>
      <b/>
      <color theme="1"/>
      <name val="Aptos Narrow"/>
      <scheme val="minor"/>
    </font>
    <font>
      <sz val="14.0"/>
      <color theme="1"/>
      <name val="Arial"/>
    </font>
    <font>
      <b/>
      <sz val="14.0"/>
      <color theme="1"/>
      <name val="Aptos Narrow"/>
      <scheme val="minor"/>
    </font>
    <font>
      <sz val="11.0"/>
      <color theme="1"/>
      <name val="Arial"/>
    </font>
    <font>
      <sz val="11.0"/>
      <color theme="1"/>
      <name val="Aptos Narrow"/>
    </font>
    <font>
      <b/>
      <sz val="11.0"/>
      <color theme="1"/>
      <name val="Aptos Narrow"/>
    </font>
    <font>
      <b/>
      <sz val="22.0"/>
      <color theme="1"/>
      <name val="Arial"/>
    </font>
    <font>
      <b/>
      <sz val="24.0"/>
      <color theme="1"/>
      <name val="Arial"/>
    </font>
    <font>
      <b/>
      <sz val="12.0"/>
      <color theme="1"/>
      <name val="Aptos Narrow"/>
    </font>
    <font>
      <b/>
      <sz val="12.0"/>
      <color theme="1"/>
      <name val="Aptos Narrow"/>
      <scheme val="minor"/>
    </font>
    <font>
      <b/>
      <sz val="11.0"/>
      <color theme="1"/>
      <name val="Arial"/>
    </font>
    <font>
      <b/>
      <sz val="12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A6C9EB"/>
        <bgColor rgb="FFA6C9EB"/>
      </patternFill>
    </fill>
    <fill>
      <patternFill patternType="solid">
        <fgColor rgb="FFC1E4F5"/>
        <bgColor rgb="FFC1E4F5"/>
      </patternFill>
    </fill>
    <fill>
      <patternFill patternType="solid">
        <fgColor rgb="FFFF0000"/>
        <bgColor rgb="FFFF0000"/>
      </patternFill>
    </fill>
  </fills>
  <borders count="5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210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1" fillId="0" fontId="2" numFmtId="0" xfId="0" applyAlignment="1" applyBorder="1" applyFont="1">
      <alignment horizontal="center" readingOrder="0" shrinkToFit="0" wrapText="1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164" xfId="0" applyAlignment="1" applyFont="1" applyNumberFormat="1">
      <alignment horizontal="center" readingOrder="0" shrinkToFit="0" vertical="center" wrapText="0"/>
    </xf>
    <xf borderId="5" fillId="0" fontId="5" numFmtId="0" xfId="0" applyAlignment="1" applyBorder="1" applyFont="1">
      <alignment horizontal="center" readingOrder="0" vertical="center"/>
    </xf>
    <xf borderId="4" fillId="0" fontId="5" numFmtId="165" xfId="0" applyAlignment="1" applyBorder="1" applyFont="1" applyNumberFormat="1">
      <alignment horizontal="center" readingOrder="0"/>
    </xf>
    <xf borderId="4" fillId="0" fontId="6" numFmtId="165" xfId="0" applyBorder="1" applyFont="1" applyNumberFormat="1"/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horizontal="center" readingOrder="0" shrinkToFit="0" vertical="center" wrapText="0"/>
    </xf>
    <xf borderId="0" fillId="2" fontId="5" numFmtId="0" xfId="0" applyAlignment="1" applyFill="1" applyFont="1">
      <alignment readingOrder="0" shrinkToFit="0" vertical="center" wrapText="0"/>
    </xf>
    <xf borderId="0" fillId="3" fontId="1" numFmtId="0" xfId="0" applyAlignment="1" applyFill="1" applyFont="1">
      <alignment shrinkToFit="0" vertical="center" wrapText="0"/>
    </xf>
    <xf borderId="0" fillId="3" fontId="1" numFmtId="164" xfId="0" applyAlignment="1" applyFont="1" applyNumberFormat="1">
      <alignment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6" fillId="0" fontId="3" numFmtId="0" xfId="0" applyBorder="1" applyFont="1"/>
    <xf borderId="7" fillId="0" fontId="3" numFmtId="0" xfId="0" applyBorder="1" applyFont="1"/>
    <xf borderId="4" fillId="4" fontId="1" numFmtId="0" xfId="0" applyBorder="1" applyFill="1" applyFont="1"/>
    <xf borderId="4" fillId="4" fontId="5" numFmtId="0" xfId="0" applyAlignment="1" applyBorder="1" applyFont="1">
      <alignment horizontal="center" readingOrder="0"/>
    </xf>
    <xf borderId="4" fillId="4" fontId="5" numFmtId="0" xfId="0" applyAlignment="1" applyBorder="1" applyFont="1">
      <alignment readingOrder="0"/>
    </xf>
    <xf borderId="4" fillId="4" fontId="5" numFmtId="0" xfId="0" applyAlignment="1" applyBorder="1" applyFont="1">
      <alignment horizontal="center" readingOrder="0" vertical="center"/>
    </xf>
    <xf borderId="4" fillId="4" fontId="5" numFmtId="165" xfId="0" applyAlignment="1" applyBorder="1" applyFont="1" applyNumberFormat="1">
      <alignment horizontal="center" readingOrder="0"/>
    </xf>
    <xf borderId="4" fillId="4" fontId="6" numFmtId="165" xfId="0" applyBorder="1" applyFont="1" applyNumberFormat="1"/>
    <xf borderId="0" fillId="2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8" numFmtId="164" xfId="0" applyAlignment="1" applyFont="1" applyNumberFormat="1">
      <alignment shrinkToFit="0" vertical="center" wrapText="0"/>
    </xf>
    <xf borderId="4" fillId="0" fontId="2" numFmtId="0" xfId="0" applyAlignment="1" applyBorder="1" applyFont="1">
      <alignment readingOrder="0"/>
    </xf>
    <xf borderId="4" fillId="0" fontId="9" numFmtId="0" xfId="0" applyAlignment="1" applyBorder="1" applyFont="1">
      <alignment readingOrder="0"/>
    </xf>
    <xf borderId="4" fillId="0" fontId="10" numFmtId="0" xfId="0" applyBorder="1" applyFont="1"/>
    <xf borderId="0" fillId="0" fontId="1" numFmtId="1" xfId="0" applyFont="1" applyNumberFormat="1"/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8" fillId="0" fontId="10" numFmtId="0" xfId="0" applyAlignment="1" applyBorder="1" applyFont="1">
      <alignment horizontal="left" shrinkToFit="0" vertical="center" wrapText="0"/>
    </xf>
    <xf borderId="8" fillId="0" fontId="9" numFmtId="0" xfId="0" applyAlignment="1" applyBorder="1" applyFont="1">
      <alignment readingOrder="0" shrinkToFit="0" vertical="center" wrapText="0"/>
    </xf>
    <xf borderId="9" fillId="0" fontId="10" numFmtId="165" xfId="0" applyAlignment="1" applyBorder="1" applyFont="1" applyNumberFormat="1">
      <alignment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10" numFmtId="164" xfId="0" applyAlignment="1" applyFont="1" applyNumberFormat="1">
      <alignment shrinkToFit="0" vertical="center" wrapText="0"/>
    </xf>
    <xf borderId="4" fillId="0" fontId="10" numFmtId="0" xfId="0" applyAlignment="1" applyBorder="1" applyFont="1">
      <alignment horizontal="left" shrinkToFit="0" vertical="center" wrapText="0"/>
    </xf>
    <xf borderId="4" fillId="0" fontId="10" numFmtId="0" xfId="0" applyAlignment="1" applyBorder="1" applyFont="1">
      <alignment shrinkToFit="0" vertical="center" wrapText="0"/>
    </xf>
    <xf borderId="10" fillId="0" fontId="10" numFmtId="165" xfId="0" applyAlignment="1" applyBorder="1" applyFont="1" applyNumberFormat="1">
      <alignment shrinkToFit="0" vertical="center" wrapText="0"/>
    </xf>
    <xf borderId="11" fillId="0" fontId="10" numFmtId="0" xfId="0" applyAlignment="1" applyBorder="1" applyFont="1">
      <alignment horizontal="left" shrinkToFit="0" vertical="center" wrapText="0"/>
    </xf>
    <xf borderId="11" fillId="0" fontId="10" numFmtId="0" xfId="0" applyAlignment="1" applyBorder="1" applyFont="1">
      <alignment shrinkToFit="0" vertical="center" wrapText="0"/>
    </xf>
    <xf borderId="12" fillId="0" fontId="10" numFmtId="165" xfId="0" applyAlignment="1" applyBorder="1" applyFont="1" applyNumberFormat="1">
      <alignment shrinkToFit="0" vertical="center" wrapText="0"/>
    </xf>
    <xf borderId="13" fillId="0" fontId="10" numFmtId="0" xfId="0" applyAlignment="1" applyBorder="1" applyFont="1">
      <alignment horizontal="left" shrinkToFit="0" vertical="center" wrapText="0"/>
    </xf>
    <xf borderId="7" fillId="0" fontId="10" numFmtId="0" xfId="0" applyAlignment="1" applyBorder="1" applyFont="1">
      <alignment shrinkToFit="0" vertical="center" wrapText="0"/>
    </xf>
    <xf borderId="14" fillId="0" fontId="10" numFmtId="0" xfId="0" applyAlignment="1" applyBorder="1" applyFont="1">
      <alignment horizontal="left" shrinkToFit="0" vertical="center" wrapText="0"/>
    </xf>
    <xf borderId="15" fillId="0" fontId="10" numFmtId="165" xfId="0" applyAlignment="1" applyBorder="1" applyFont="1" applyNumberFormat="1">
      <alignment shrinkToFit="0" vertical="center" wrapText="0"/>
    </xf>
    <xf borderId="16" fillId="0" fontId="10" numFmtId="0" xfId="0" applyAlignment="1" applyBorder="1" applyFont="1">
      <alignment horizontal="left" shrinkToFit="0" vertical="center" wrapText="0"/>
    </xf>
    <xf borderId="17" fillId="0" fontId="10" numFmtId="0" xfId="0" applyAlignment="1" applyBorder="1" applyFont="1">
      <alignment horizontal="left" shrinkToFit="0" vertical="center" wrapText="0"/>
    </xf>
    <xf borderId="18" fillId="0" fontId="10" numFmtId="165" xfId="0" applyAlignment="1" applyBorder="1" applyFont="1" applyNumberFormat="1">
      <alignment shrinkToFit="0" vertical="center" wrapText="0"/>
    </xf>
    <xf borderId="7" fillId="0" fontId="10" numFmtId="0" xfId="0" applyAlignment="1" applyBorder="1" applyFont="1">
      <alignment horizontal="left" shrinkToFit="0" vertical="center" wrapText="0"/>
    </xf>
    <xf borderId="19" fillId="0" fontId="10" numFmtId="165" xfId="0" applyAlignment="1" applyBorder="1" applyFont="1" applyNumberFormat="1">
      <alignment shrinkToFit="0" vertical="center" wrapText="0"/>
    </xf>
    <xf borderId="4" fillId="0" fontId="10" numFmtId="0" xfId="0" applyAlignment="1" applyBorder="1" applyFont="1">
      <alignment horizontal="left" shrinkToFit="0" vertical="center" wrapText="1"/>
    </xf>
    <xf borderId="4" fillId="0" fontId="9" numFmtId="0" xfId="0" applyAlignment="1" applyBorder="1" applyFont="1">
      <alignment readingOrder="0" shrinkToFit="0" vertical="center" wrapText="0"/>
    </xf>
    <xf borderId="4" fillId="0" fontId="9" numFmtId="0" xfId="0" applyAlignment="1" applyBorder="1" applyFont="1">
      <alignment horizontal="left" shrinkToFit="0" vertical="center" wrapText="0"/>
    </xf>
    <xf borderId="0" fillId="0" fontId="10" numFmtId="0" xfId="0" applyAlignment="1" applyFont="1">
      <alignment shrinkToFit="0" vertical="center" wrapText="0"/>
    </xf>
    <xf borderId="4" fillId="0" fontId="10" numFmtId="165" xfId="0" applyAlignment="1" applyBorder="1" applyFont="1" applyNumberFormat="1">
      <alignment shrinkToFit="0" vertical="center" wrapText="0"/>
    </xf>
    <xf borderId="14" fillId="0" fontId="10" numFmtId="0" xfId="0" applyAlignment="1" applyBorder="1" applyFont="1">
      <alignment horizontal="left" readingOrder="0" shrinkToFit="0" vertical="center" wrapText="0"/>
    </xf>
    <xf borderId="7" fillId="0" fontId="9" numFmtId="0" xfId="0" applyAlignment="1" applyBorder="1" applyFont="1">
      <alignment readingOrder="0" shrinkToFit="0" vertical="center" wrapText="0"/>
    </xf>
    <xf borderId="7" fillId="0" fontId="9" numFmtId="0" xfId="0" applyAlignment="1" applyBorder="1" applyFont="1">
      <alignment horizontal="left" readingOrder="0" shrinkToFit="0" vertical="center" wrapText="1"/>
    </xf>
    <xf borderId="19" fillId="0" fontId="10" numFmtId="165" xfId="0" applyAlignment="1" applyBorder="1" applyFont="1" applyNumberFormat="1">
      <alignment readingOrder="0" shrinkToFit="0" vertical="center" wrapText="0"/>
    </xf>
    <xf borderId="1" fillId="0" fontId="10" numFmtId="0" xfId="0" applyAlignment="1" applyBorder="1" applyFont="1">
      <alignment horizontal="left" readingOrder="0" shrinkToFit="0" vertical="center" wrapText="0"/>
    </xf>
    <xf borderId="10" fillId="0" fontId="10" numFmtId="165" xfId="0" applyAlignment="1" applyBorder="1" applyFont="1" applyNumberFormat="1">
      <alignment readingOrder="0" shrinkToFit="0" vertical="center" wrapText="0"/>
    </xf>
    <xf borderId="4" fillId="0" fontId="10" numFmtId="0" xfId="0" applyAlignment="1" applyBorder="1" applyFont="1">
      <alignment horizontal="left" readingOrder="0" shrinkToFit="0" vertical="center" wrapText="0"/>
    </xf>
    <xf borderId="4" fillId="0" fontId="10" numFmtId="165" xfId="0" applyAlignment="1" applyBorder="1" applyFont="1" applyNumberFormat="1">
      <alignment readingOrder="0" shrinkToFit="0" vertical="center" wrapText="0"/>
    </xf>
    <xf borderId="7" fillId="0" fontId="9" numFmtId="0" xfId="0" applyAlignment="1" applyBorder="1" applyFont="1">
      <alignment horizontal="left" readingOrder="0" shrinkToFit="0" vertical="center" wrapText="0"/>
    </xf>
    <xf borderId="4" fillId="0" fontId="9" numFmtId="0" xfId="0" applyAlignment="1" applyBorder="1" applyFont="1">
      <alignment horizontal="left" readingOrder="0" shrinkToFit="0" vertical="center" wrapText="0"/>
    </xf>
    <xf borderId="0" fillId="0" fontId="1" numFmtId="0" xfId="0" applyFont="1"/>
    <xf borderId="8" fillId="0" fontId="10" numFmtId="0" xfId="0" applyAlignment="1" applyBorder="1" applyFont="1">
      <alignment shrinkToFit="0" vertical="center" wrapText="0"/>
    </xf>
    <xf borderId="19" fillId="0" fontId="9" numFmtId="165" xfId="0" applyAlignment="1" applyBorder="1" applyFont="1" applyNumberFormat="1">
      <alignment readingOrder="0" shrinkToFit="0" vertical="center" wrapText="0"/>
    </xf>
    <xf borderId="7" fillId="0" fontId="10" numFmtId="0" xfId="0" applyAlignment="1" applyBorder="1" applyFont="1">
      <alignment horizontal="left" shrinkToFit="0" vertical="center" wrapText="1"/>
    </xf>
    <xf borderId="5" fillId="0" fontId="10" numFmtId="0" xfId="0" applyAlignment="1" applyBorder="1" applyFont="1">
      <alignment horizontal="left" shrinkToFit="0" vertical="center" wrapText="0"/>
    </xf>
    <xf borderId="6" fillId="0" fontId="10" numFmtId="0" xfId="0" applyAlignment="1" applyBorder="1" applyFont="1">
      <alignment shrinkToFit="0" vertical="center" wrapText="0"/>
    </xf>
    <xf borderId="20" fillId="0" fontId="10" numFmtId="165" xfId="0" applyAlignment="1" applyBorder="1" applyFont="1" applyNumberFormat="1">
      <alignment shrinkToFit="0" vertical="center" wrapText="0"/>
    </xf>
    <xf borderId="8" fillId="0" fontId="10" numFmtId="0" xfId="0" applyAlignment="1" applyBorder="1" applyFont="1">
      <alignment horizontal="left" shrinkToFit="0" vertical="center" wrapText="1"/>
    </xf>
    <xf borderId="4" fillId="0" fontId="10" numFmtId="0" xfId="0" applyAlignment="1" applyBorder="1" applyFont="1">
      <alignment horizontal="left"/>
    </xf>
    <xf borderId="10" fillId="0" fontId="10" numFmtId="165" xfId="0" applyBorder="1" applyFont="1" applyNumberFormat="1"/>
    <xf borderId="11" fillId="0" fontId="10" numFmtId="0" xfId="0" applyBorder="1" applyFont="1"/>
    <xf borderId="11" fillId="0" fontId="10" numFmtId="0" xfId="0" applyAlignment="1" applyBorder="1" applyFont="1">
      <alignment horizontal="left"/>
    </xf>
    <xf borderId="12" fillId="0" fontId="10" numFmtId="165" xfId="0" applyBorder="1" applyFont="1" applyNumberFormat="1"/>
    <xf borderId="0" fillId="0" fontId="10" numFmtId="0" xfId="0" applyFont="1"/>
    <xf borderId="21" fillId="5" fontId="11" numFmtId="0" xfId="0" applyAlignment="1" applyBorder="1" applyFill="1" applyFont="1">
      <alignment horizontal="center"/>
    </xf>
    <xf borderId="22" fillId="5" fontId="11" numFmtId="0" xfId="0" applyAlignment="1" applyBorder="1" applyFont="1">
      <alignment horizontal="center"/>
    </xf>
    <xf borderId="23" fillId="5" fontId="11" numFmtId="0" xfId="0" applyAlignment="1" applyBorder="1" applyFont="1">
      <alignment horizontal="center"/>
    </xf>
    <xf borderId="24" fillId="0" fontId="11" numFmtId="0" xfId="0" applyAlignment="1" applyBorder="1" applyFont="1">
      <alignment horizontal="center" vertical="center"/>
    </xf>
    <xf borderId="25" fillId="0" fontId="10" numFmtId="0" xfId="0" applyBorder="1" applyFont="1"/>
    <xf borderId="8" fillId="0" fontId="10" numFmtId="0" xfId="0" applyAlignment="1" applyBorder="1" applyFont="1">
      <alignment horizontal="left"/>
    </xf>
    <xf borderId="9" fillId="0" fontId="10" numFmtId="165" xfId="0" applyBorder="1" applyFont="1" applyNumberFormat="1"/>
    <xf borderId="26" fillId="0" fontId="3" numFmtId="0" xfId="0" applyBorder="1" applyFont="1"/>
    <xf borderId="27" fillId="0" fontId="10" numFmtId="0" xfId="0" applyBorder="1" applyFont="1"/>
    <xf borderId="0" fillId="0" fontId="9" numFmtId="0" xfId="0" applyFont="1"/>
    <xf borderId="24" fillId="2" fontId="12" numFmtId="165" xfId="0" applyAlignment="1" applyBorder="1" applyFont="1" applyNumberFormat="1">
      <alignment horizontal="center" readingOrder="0" shrinkToFit="0" vertical="center" wrapText="1"/>
    </xf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0" numFmtId="0" xfId="0" applyBorder="1" applyFont="1"/>
    <xf borderId="32" fillId="0" fontId="3" numFmtId="0" xfId="0" applyBorder="1" applyFont="1"/>
    <xf borderId="33" fillId="0" fontId="3" numFmtId="0" xfId="0" applyBorder="1" applyFont="1"/>
    <xf borderId="18" fillId="0" fontId="3" numFmtId="0" xfId="0" applyBorder="1" applyFont="1"/>
    <xf borderId="34" fillId="0" fontId="11" numFmtId="0" xfId="0" applyAlignment="1" applyBorder="1" applyFont="1">
      <alignment horizontal="center" vertical="center"/>
    </xf>
    <xf borderId="35" fillId="0" fontId="10" numFmtId="0" xfId="0" applyBorder="1" applyFont="1"/>
    <xf borderId="7" fillId="0" fontId="10" numFmtId="0" xfId="0" applyAlignment="1" applyBorder="1" applyFont="1">
      <alignment horizontal="left"/>
    </xf>
    <xf borderId="14" fillId="0" fontId="10" numFmtId="0" xfId="0" applyAlignment="1" applyBorder="1" applyFont="1">
      <alignment horizontal="left"/>
    </xf>
    <xf borderId="13" fillId="0" fontId="10" numFmtId="0" xfId="0" applyAlignment="1" applyBorder="1" applyFont="1">
      <alignment horizontal="left"/>
    </xf>
    <xf borderId="15" fillId="0" fontId="10" numFmtId="165" xfId="0" applyBorder="1" applyFont="1" applyNumberFormat="1"/>
    <xf borderId="24" fillId="0" fontId="10" numFmtId="0" xfId="0" applyBorder="1" applyFont="1"/>
    <xf borderId="28" fillId="0" fontId="10" numFmtId="0" xfId="0" applyAlignment="1" applyBorder="1" applyFont="1">
      <alignment horizontal="center"/>
    </xf>
    <xf borderId="28" fillId="0" fontId="10" numFmtId="0" xfId="0" applyBorder="1" applyFont="1"/>
    <xf borderId="36" fillId="0" fontId="3" numFmtId="0" xfId="0" applyBorder="1" applyFont="1"/>
    <xf borderId="17" fillId="0" fontId="10" numFmtId="0" xfId="0" applyAlignment="1" applyBorder="1" applyFont="1">
      <alignment horizontal="left"/>
    </xf>
    <xf borderId="16" fillId="0" fontId="10" numFmtId="0" xfId="0" applyAlignment="1" applyBorder="1" applyFont="1">
      <alignment horizontal="left"/>
    </xf>
    <xf borderId="18" fillId="0" fontId="10" numFmtId="165" xfId="0" applyBorder="1" applyFont="1" applyNumberFormat="1"/>
    <xf borderId="26" fillId="0" fontId="10" numFmtId="0" xfId="0" applyBorder="1" applyFont="1"/>
    <xf borderId="30" fillId="0" fontId="10" numFmtId="0" xfId="0" applyBorder="1" applyFont="1"/>
    <xf borderId="37" fillId="0" fontId="11" numFmtId="0" xfId="0" applyAlignment="1" applyBorder="1" applyFont="1">
      <alignment horizontal="center" vertical="center"/>
    </xf>
    <xf borderId="7" fillId="0" fontId="10" numFmtId="0" xfId="0" applyBorder="1" applyFont="1"/>
    <xf borderId="19" fillId="0" fontId="10" numFmtId="165" xfId="0" applyBorder="1" applyFont="1" applyNumberFormat="1"/>
    <xf borderId="0" fillId="0" fontId="9" numFmtId="0" xfId="0" applyAlignment="1" applyFont="1">
      <alignment readingOrder="0"/>
    </xf>
    <xf borderId="0" fillId="0" fontId="10" numFmtId="165" xfId="0" applyFont="1" applyNumberFormat="1"/>
    <xf borderId="0" fillId="0" fontId="1" numFmtId="0" xfId="0" applyFont="1"/>
    <xf borderId="30" fillId="0" fontId="10" numFmtId="165" xfId="0" applyBorder="1" applyFont="1" applyNumberFormat="1"/>
    <xf borderId="0" fillId="0" fontId="5" numFmtId="0" xfId="0" applyAlignment="1" applyFont="1">
      <alignment readingOrder="0"/>
    </xf>
    <xf borderId="37" fillId="0" fontId="3" numFmtId="0" xfId="0" applyBorder="1" applyFont="1"/>
    <xf borderId="26" fillId="0" fontId="9" numFmtId="0" xfId="0" applyAlignment="1" applyBorder="1" applyFont="1">
      <alignment readingOrder="0"/>
    </xf>
    <xf borderId="4" fillId="0" fontId="10" numFmtId="0" xfId="0" applyAlignment="1" applyBorder="1" applyFont="1">
      <alignment horizontal="left" shrinkToFit="0" wrapText="1"/>
    </xf>
    <xf borderId="26" fillId="0" fontId="9" numFmtId="0" xfId="0" applyAlignment="1" applyBorder="1" applyFont="1">
      <alignment horizontal="left" readingOrder="0"/>
    </xf>
    <xf borderId="26" fillId="0" fontId="10" numFmtId="0" xfId="0" applyAlignment="1" applyBorder="1" applyFont="1">
      <alignment horizontal="left"/>
    </xf>
    <xf borderId="4" fillId="0" fontId="9" numFmtId="0" xfId="0" applyAlignment="1" applyBorder="1" applyFont="1">
      <alignment horizontal="left"/>
    </xf>
    <xf borderId="32" fillId="0" fontId="10" numFmtId="0" xfId="0" applyBorder="1" applyFont="1"/>
    <xf borderId="33" fillId="0" fontId="10" numFmtId="0" xfId="0" applyBorder="1" applyFont="1"/>
    <xf borderId="33" fillId="0" fontId="11" numFmtId="0" xfId="0" applyBorder="1" applyFont="1"/>
    <xf borderId="18" fillId="0" fontId="11" numFmtId="165" xfId="0" applyBorder="1" applyFont="1" applyNumberFormat="1"/>
    <xf borderId="4" fillId="0" fontId="9" numFmtId="0" xfId="0" applyBorder="1" applyFont="1"/>
    <xf borderId="4" fillId="0" fontId="10" numFmtId="165" xfId="0" applyBorder="1" applyFont="1" applyNumberFormat="1"/>
    <xf borderId="24" fillId="6" fontId="12" numFmtId="165" xfId="0" applyAlignment="1" applyBorder="1" applyFill="1" applyFont="1" applyNumberFormat="1">
      <alignment horizontal="center" readingOrder="0" shrinkToFit="0" vertical="center" wrapText="1"/>
    </xf>
    <xf borderId="24" fillId="6" fontId="13" numFmtId="165" xfId="0" applyAlignment="1" applyBorder="1" applyFont="1" applyNumberFormat="1">
      <alignment horizontal="center" readingOrder="0" shrinkToFit="0" vertical="center" wrapText="1"/>
    </xf>
    <xf borderId="26" fillId="0" fontId="11" numFmtId="0" xfId="0" applyAlignment="1" applyBorder="1" applyFont="1">
      <alignment horizontal="center" vertical="center"/>
    </xf>
    <xf borderId="26" fillId="0" fontId="10" numFmtId="0" xfId="0" applyAlignment="1" applyBorder="1" applyFont="1">
      <alignment horizontal="center"/>
    </xf>
    <xf borderId="7" fillId="0" fontId="9" numFmtId="0" xfId="0" applyAlignment="1" applyBorder="1" applyFont="1">
      <alignment horizontal="left" readingOrder="0"/>
    </xf>
    <xf borderId="19" fillId="0" fontId="9" numFmtId="165" xfId="0" applyAlignment="1" applyBorder="1" applyFont="1" applyNumberFormat="1">
      <alignment readingOrder="0"/>
    </xf>
    <xf borderId="7" fillId="0" fontId="10" numFmtId="0" xfId="0" applyAlignment="1" applyBorder="1" applyFont="1">
      <alignment horizontal="left" shrinkToFit="0" wrapText="1"/>
    </xf>
    <xf borderId="18" fillId="0" fontId="14" numFmtId="165" xfId="0" applyBorder="1" applyFont="1" applyNumberFormat="1"/>
    <xf borderId="0" fillId="0" fontId="10" numFmtId="0" xfId="0" applyAlignment="1" applyFont="1">
      <alignment horizontal="left"/>
    </xf>
    <xf borderId="24" fillId="7" fontId="12" numFmtId="165" xfId="0" applyAlignment="1" applyBorder="1" applyFill="1" applyFont="1" applyNumberFormat="1">
      <alignment horizontal="center" readingOrder="0" shrinkToFit="0" vertical="center" wrapText="1"/>
    </xf>
    <xf borderId="38" fillId="0" fontId="10" numFmtId="0" xfId="0" applyBorder="1" applyFont="1"/>
    <xf borderId="39" fillId="0" fontId="10" numFmtId="0" xfId="0" applyAlignment="1" applyBorder="1" applyFont="1">
      <alignment horizontal="center"/>
    </xf>
    <xf borderId="39" fillId="0" fontId="3" numFmtId="0" xfId="0" applyBorder="1" applyFont="1"/>
    <xf borderId="40" fillId="0" fontId="3" numFmtId="0" xfId="0" applyBorder="1" applyFont="1"/>
    <xf borderId="41" fillId="0" fontId="10" numFmtId="0" xfId="0" applyBorder="1" applyFont="1"/>
    <xf borderId="6" fillId="0" fontId="10" numFmtId="0" xfId="0" applyAlignment="1" applyBorder="1" applyFont="1">
      <alignment horizontal="left"/>
    </xf>
    <xf borderId="5" fillId="0" fontId="10" numFmtId="0" xfId="0" applyAlignment="1" applyBorder="1" applyFont="1">
      <alignment horizontal="left"/>
    </xf>
    <xf borderId="20" fillId="0" fontId="10" numFmtId="165" xfId="0" applyBorder="1" applyFont="1" applyNumberFormat="1"/>
    <xf borderId="42" fillId="0" fontId="10" numFmtId="0" xfId="0" applyBorder="1" applyFont="1"/>
    <xf borderId="43" fillId="0" fontId="10" numFmtId="0" xfId="0" applyBorder="1" applyFont="1"/>
    <xf borderId="24" fillId="0" fontId="11" numFmtId="0" xfId="0" applyAlignment="1" applyBorder="1" applyFont="1">
      <alignment horizontal="center" shrinkToFit="0" vertical="center" wrapText="1"/>
    </xf>
    <xf borderId="8" fillId="0" fontId="10" numFmtId="0" xfId="0" applyBorder="1" applyFont="1"/>
    <xf borderId="8" fillId="0" fontId="10" numFmtId="0" xfId="0" applyAlignment="1" applyBorder="1" applyFont="1">
      <alignment horizontal="left" shrinkToFit="0" wrapText="1"/>
    </xf>
    <xf borderId="43" fillId="0" fontId="10" numFmtId="165" xfId="0" applyBorder="1" applyFont="1" applyNumberFormat="1"/>
    <xf borderId="0" fillId="0" fontId="10" numFmtId="0" xfId="0" applyAlignment="1" applyFont="1">
      <alignment readingOrder="0"/>
    </xf>
    <xf borderId="0" fillId="0" fontId="10" numFmtId="165" xfId="0" applyAlignment="1" applyFont="1" applyNumberFormat="1">
      <alignment readingOrder="0"/>
    </xf>
    <xf borderId="42" fillId="0" fontId="9" numFmtId="0" xfId="0" applyAlignment="1" applyBorder="1" applyFont="1">
      <alignment horizontal="left" readingOrder="0"/>
    </xf>
    <xf borderId="0" fillId="0" fontId="1" numFmtId="0" xfId="0" applyAlignment="1" applyFont="1">
      <alignment readingOrder="0"/>
    </xf>
    <xf borderId="37" fillId="0" fontId="14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left"/>
    </xf>
    <xf borderId="42" fillId="0" fontId="10" numFmtId="165" xfId="0" applyBorder="1" applyFont="1" applyNumberFormat="1"/>
    <xf borderId="14" fillId="0" fontId="10" numFmtId="165" xfId="0" applyBorder="1" applyFont="1" applyNumberFormat="1"/>
    <xf borderId="44" fillId="0" fontId="1" numFmtId="0" xfId="0" applyBorder="1" applyFont="1"/>
    <xf borderId="44" fillId="0" fontId="14" numFmtId="0" xfId="0" applyBorder="1" applyFont="1"/>
    <xf borderId="45" fillId="0" fontId="14" numFmtId="165" xfId="0" applyBorder="1" applyFont="1" applyNumberFormat="1"/>
    <xf borderId="14" fillId="0" fontId="14" numFmtId="165" xfId="0" applyBorder="1" applyFont="1" applyNumberFormat="1"/>
    <xf borderId="44" fillId="0" fontId="15" numFmtId="0" xfId="0" applyBorder="1" applyFont="1"/>
    <xf borderId="0" fillId="0" fontId="10" numFmtId="0" xfId="0" applyAlignment="1" applyFont="1">
      <alignment horizontal="center"/>
    </xf>
    <xf borderId="43" fillId="0" fontId="3" numFmtId="0" xfId="0" applyBorder="1" applyFont="1"/>
    <xf borderId="5" fillId="0" fontId="10" numFmtId="0" xfId="0" applyBorder="1" applyFont="1"/>
    <xf borderId="38" fillId="0" fontId="10" numFmtId="0" xfId="0" applyAlignment="1" applyBorder="1" applyFont="1">
      <alignment horizontal="left"/>
    </xf>
    <xf borderId="46" fillId="0" fontId="11" numFmtId="0" xfId="0" applyAlignment="1" applyBorder="1" applyFont="1">
      <alignment horizontal="center" vertical="center"/>
    </xf>
    <xf borderId="47" fillId="0" fontId="3" numFmtId="0" xfId="0" applyBorder="1" applyFont="1"/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166" xfId="0" applyAlignment="1" applyFont="1" applyNumberFormat="1">
      <alignment readingOrder="0" shrinkToFit="0" wrapText="1"/>
    </xf>
    <xf borderId="0" fillId="0" fontId="1" numFmtId="0" xfId="0" applyAlignment="1" applyFont="1">
      <alignment horizontal="left" readingOrder="0"/>
    </xf>
    <xf borderId="0" fillId="0" fontId="1" numFmtId="167" xfId="0" applyAlignment="1" applyFont="1" applyNumberFormat="1">
      <alignment readingOrder="0"/>
    </xf>
    <xf borderId="0" fillId="5" fontId="11" numFmtId="0" xfId="0" applyAlignment="1" applyFont="1">
      <alignment horizontal="center"/>
    </xf>
    <xf borderId="46" fillId="5" fontId="11" numFmtId="0" xfId="0" applyAlignment="1" applyBorder="1" applyFont="1">
      <alignment horizontal="center"/>
    </xf>
    <xf borderId="48" fillId="5" fontId="11" numFmtId="0" xfId="0" applyAlignment="1" applyBorder="1" applyFont="1">
      <alignment horizontal="center"/>
    </xf>
    <xf borderId="49" fillId="5" fontId="11" numFmtId="164" xfId="0" applyAlignment="1" applyBorder="1" applyFont="1" applyNumberFormat="1">
      <alignment horizontal="center"/>
    </xf>
    <xf borderId="0" fillId="0" fontId="11" numFmtId="0" xfId="0" applyAlignment="1" applyFont="1">
      <alignment horizontal="center"/>
    </xf>
    <xf borderId="5" fillId="0" fontId="11" numFmtId="0" xfId="0" applyAlignment="1" applyBorder="1" applyFont="1">
      <alignment horizontal="center" vertical="center"/>
    </xf>
    <xf borderId="4" fillId="0" fontId="1" numFmtId="0" xfId="0" applyBorder="1" applyFont="1"/>
    <xf borderId="4" fillId="0" fontId="1" numFmtId="164" xfId="0" applyBorder="1" applyFont="1" applyNumberFormat="1"/>
    <xf borderId="4" fillId="0" fontId="5" numFmtId="0" xfId="0" applyAlignment="1" applyBorder="1" applyFont="1">
      <alignment readingOrder="0" shrinkToFit="0" wrapText="0"/>
    </xf>
    <xf borderId="4" fillId="0" fontId="5" numFmtId="0" xfId="0" applyAlignment="1" applyBorder="1" applyFont="1">
      <alignment readingOrder="0"/>
    </xf>
    <xf borderId="4" fillId="0" fontId="5" numFmtId="164" xfId="0" applyAlignment="1" applyBorder="1" applyFont="1" applyNumberFormat="1">
      <alignment readingOrder="0"/>
    </xf>
    <xf borderId="0" fillId="0" fontId="11" numFmtId="0" xfId="0" applyAlignment="1" applyFont="1">
      <alignment horizontal="center" shrinkToFit="0" wrapText="1"/>
    </xf>
    <xf borderId="5" fillId="0" fontId="16" numFmtId="0" xfId="0" applyAlignment="1" applyBorder="1" applyFont="1">
      <alignment horizontal="center" readingOrder="0" shrinkToFit="0" vertical="center" wrapText="1"/>
    </xf>
    <xf borderId="5" fillId="0" fontId="11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center"/>
    </xf>
    <xf borderId="5" fillId="0" fontId="17" numFmtId="0" xfId="0" applyAlignment="1" applyBorder="1" applyFont="1">
      <alignment horizontal="center" readingOrder="0" vertical="center"/>
    </xf>
    <xf borderId="0" fillId="0" fontId="5" numFmtId="167" xfId="0" applyAlignment="1" applyFont="1" applyNumberFormat="1">
      <alignment readingOrder="0"/>
    </xf>
    <xf borderId="0" fillId="0" fontId="5" numFmtId="166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0" xfId="0" applyAlignment="1" applyFont="1">
      <alignment horizontal="left"/>
    </xf>
    <xf borderId="0" fillId="0" fontId="1" numFmtId="166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Resumen Valores kits y cotizad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BDD conjun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E3:K29" displayName="Tabla_2" name="Tabla_2" id="1">
  <tableColumns count="7">
    <tableColumn name="Columna 1" id="1"/>
    <tableColumn name="Descripcion" id="2"/>
    <tableColumn name="Marca" id="3"/>
    <tableColumn name="Modelo" id="4"/>
    <tableColumn name="Valor" id="5"/>
    <tableColumn name="cantidad" id="6"/>
    <tableColumn name="Total" id="7"/>
  </tableColumns>
  <tableStyleInfo name="Resumen Valores kits y cotizado-style" showColumnStripes="0" showFirstColumn="1" showLastColumn="1" showRowStripes="1"/>
</table>
</file>

<file path=xl/tables/table2.xml><?xml version="1.0" encoding="utf-8"?>
<table xmlns="http://schemas.openxmlformats.org/spreadsheetml/2006/main" ref="C2:H83" displayName="Tabla_1" name="Tabla_1" id="2">
  <tableColumns count="6">
    <tableColumn name="Descripcion" id="1"/>
    <tableColumn name="Marca" id="2"/>
    <tableColumn name="Modelo" id="3"/>
    <tableColumn name="Valor" id="4"/>
    <tableColumn name="Margen" id="5"/>
    <tableColumn name="total" id="6"/>
  </tableColumns>
  <tableStyleInfo name="BBDD conjun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8.63"/>
    <col customWidth="1" min="3" max="3" width="17.38"/>
    <col customWidth="1" min="4" max="4" width="4.5"/>
    <col customWidth="1" min="5" max="5" width="14.25"/>
    <col customWidth="1" min="6" max="6" width="32.88"/>
    <col customWidth="1" min="7" max="7" width="16.5"/>
    <col customWidth="1" min="8" max="8" width="47.75"/>
    <col customWidth="1" min="9" max="9" width="11.25"/>
    <col customWidth="1" min="10" max="10" width="16.25"/>
    <col customWidth="1" min="11" max="11" width="14.13"/>
  </cols>
  <sheetData>
    <row r="1">
      <c r="K1" s="1"/>
    </row>
    <row r="2">
      <c r="A2" s="2" t="s">
        <v>0</v>
      </c>
      <c r="B2" s="3"/>
      <c r="C2" s="4"/>
      <c r="K2" s="1"/>
    </row>
    <row r="3" ht="22.5" customHeight="1">
      <c r="A3" s="5" t="s">
        <v>1</v>
      </c>
      <c r="B3" s="6" t="s">
        <v>2</v>
      </c>
      <c r="C3" s="6" t="s">
        <v>3</v>
      </c>
      <c r="E3" s="7" t="s">
        <v>4</v>
      </c>
      <c r="F3" s="8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9" t="s">
        <v>10</v>
      </c>
    </row>
    <row r="4" ht="22.5" customHeight="1">
      <c r="A4" s="10" t="s">
        <v>11</v>
      </c>
      <c r="B4" s="11" t="s">
        <v>12</v>
      </c>
      <c r="C4" s="12">
        <f>'tablas de Precios kit BBDD Prod'!M51</f>
        <v>1585068.741</v>
      </c>
      <c r="D4" s="13"/>
      <c r="E4" s="14" t="s">
        <v>13</v>
      </c>
      <c r="F4" s="15" t="s">
        <v>14</v>
      </c>
      <c r="G4" s="16" t="str">
        <f>VLOOKUP($F4,Tabla_1[#ALL],2,)</f>
        <v>Huawei</v>
      </c>
      <c r="H4" s="16" t="str">
        <f>VLOOKUP($F4,Tabla_1[#ALL],3,)</f>
        <v>INVERSOR HUAWEI ON GRID HIBRIDO MONOFASICO</v>
      </c>
      <c r="I4" s="17">
        <f>VLOOKUP($F4,Tabla_1[#ALL],6,)</f>
        <v>657500</v>
      </c>
      <c r="J4" s="18">
        <v>1.0</v>
      </c>
      <c r="K4" s="19">
        <f t="shared" ref="K4:K26" si="1">I4*J4</f>
        <v>657500</v>
      </c>
    </row>
    <row r="5" ht="22.5" customHeight="1">
      <c r="A5" s="20"/>
      <c r="B5" s="11" t="s">
        <v>15</v>
      </c>
      <c r="C5" s="12">
        <f>'tablas de Precios kit BBDD Prod'!R51</f>
        <v>1644487.688</v>
      </c>
      <c r="D5" s="13"/>
      <c r="E5" s="14" t="s">
        <v>16</v>
      </c>
      <c r="F5" s="15" t="s">
        <v>17</v>
      </c>
      <c r="G5" s="16" t="str">
        <f>VLOOKUP($F5,Tabla_1[#ALL],2,)</f>
        <v>Trina Solar</v>
      </c>
      <c r="H5" s="16" t="str">
        <f>VLOOKUP($F5,Tabla_1[#ALL],3,)</f>
        <v>TSM NEG21C.20 715Wp</v>
      </c>
      <c r="I5" s="17">
        <f>VLOOKUP($F5,Tabla_1[#ALL],6,)</f>
        <v>132113.689</v>
      </c>
      <c r="J5" s="18">
        <v>9.0</v>
      </c>
      <c r="K5" s="19">
        <f t="shared" si="1"/>
        <v>1189023.201</v>
      </c>
    </row>
    <row r="6" ht="22.5" customHeight="1">
      <c r="A6" s="20"/>
      <c r="B6" s="11" t="s">
        <v>18</v>
      </c>
      <c r="C6" s="12">
        <f>'tablas de Precios kit BBDD Prod'!W51</f>
        <v>2198052.808</v>
      </c>
      <c r="D6" s="13"/>
      <c r="E6" s="14" t="s">
        <v>19</v>
      </c>
      <c r="F6" s="15" t="s">
        <v>20</v>
      </c>
      <c r="G6" s="16" t="str">
        <f>VLOOKUP($F6,Tabla_1[#ALL],2,)</f>
        <v>Huawei</v>
      </c>
      <c r="H6" s="16" t="str">
        <f>VLOOKUP($F6,Tabla_1[#ALL],3,)</f>
        <v>HUAWEI BATERIA DE LITIO LUNA2OOO 5KWH</v>
      </c>
      <c r="I6" s="17">
        <f>VLOOKUP($F6,Tabla_1[#ALL],6,)</f>
        <v>2070221.25</v>
      </c>
      <c r="J6" s="18">
        <v>1.0</v>
      </c>
      <c r="K6" s="19">
        <f t="shared" si="1"/>
        <v>2070221.25</v>
      </c>
    </row>
    <row r="7" ht="22.5" customHeight="1">
      <c r="A7" s="20"/>
      <c r="B7" s="11" t="s">
        <v>21</v>
      </c>
      <c r="C7" s="12">
        <f>'tablas de Precios kit BBDD Prod'!AB51</f>
        <v>2413658.703</v>
      </c>
      <c r="E7" s="14" t="s">
        <v>22</v>
      </c>
      <c r="F7" s="15" t="s">
        <v>23</v>
      </c>
      <c r="G7" s="16" t="str">
        <f>VLOOKUP($F7,Tabla_1[#ALL],2,)</f>
        <v>Huawei</v>
      </c>
      <c r="H7" s="16" t="str">
        <f>VLOOKUP($F7,Tabla_1[#ALL],3,)</f>
        <v>MODULO DE POTENCIA PARA BATERIA DE LITIO</v>
      </c>
      <c r="I7" s="17">
        <f>VLOOKUP($F7,Tabla_1[#ALL],6,)</f>
        <v>781250</v>
      </c>
      <c r="J7" s="18">
        <v>1.0</v>
      </c>
      <c r="K7" s="19">
        <f t="shared" si="1"/>
        <v>781250</v>
      </c>
    </row>
    <row r="8" ht="22.5" customHeight="1">
      <c r="A8" s="20"/>
      <c r="B8" s="11" t="s">
        <v>24</v>
      </c>
      <c r="C8" s="12">
        <f>'tablas de Precios kit BBDD Prod'!AG51</f>
        <v>3346900.297</v>
      </c>
      <c r="E8" s="14" t="s">
        <v>22</v>
      </c>
      <c r="F8" s="15" t="s">
        <v>25</v>
      </c>
      <c r="G8" s="16" t="str">
        <f>VLOOKUP($F8,Tabla_1[#ALL],2,)</f>
        <v>Huawei</v>
      </c>
      <c r="H8" s="16" t="str">
        <f>VLOOKUP($F8,Tabla_1[#ALL],3,)</f>
        <v>HUAWEI BACKUP BOX-B0 MONOFASICO</v>
      </c>
      <c r="I8" s="17">
        <f>VLOOKUP($F8,Tabla_1[#ALL],6,)</f>
        <v>596092.5</v>
      </c>
      <c r="J8" s="18">
        <v>1.0</v>
      </c>
      <c r="K8" s="19">
        <f t="shared" si="1"/>
        <v>596092.5</v>
      </c>
    </row>
    <row r="9" ht="22.5" customHeight="1">
      <c r="A9" s="21"/>
      <c r="B9" s="11" t="s">
        <v>26</v>
      </c>
      <c r="C9" s="12">
        <f>'tablas de Precios kit BBDD Prod'!AL51</f>
        <v>4094375.216</v>
      </c>
      <c r="E9" s="14" t="s">
        <v>22</v>
      </c>
      <c r="F9" s="15" t="s">
        <v>27</v>
      </c>
      <c r="G9" s="16" t="str">
        <f>VLOOKUP($F9,Tabla_1[#ALL],2,)</f>
        <v>Huawei</v>
      </c>
      <c r="H9" s="16" t="str">
        <f>VLOOKUP($F9,Tabla_1[#ALL],3,)</f>
        <v>HUAWEI SMART DONGLE WLAN FE</v>
      </c>
      <c r="I9" s="17">
        <f>VLOOKUP($F9,Tabla_1[#ALL],6,)</f>
        <v>78805</v>
      </c>
      <c r="J9" s="18">
        <v>1.0</v>
      </c>
      <c r="K9" s="19">
        <f t="shared" si="1"/>
        <v>78805</v>
      </c>
    </row>
    <row r="10" ht="22.5" customHeight="1">
      <c r="A10" s="22"/>
      <c r="B10" s="23"/>
      <c r="C10" s="24"/>
      <c r="E10" s="14" t="s">
        <v>22</v>
      </c>
      <c r="F10" s="15" t="s">
        <v>28</v>
      </c>
      <c r="G10" s="16" t="str">
        <f>VLOOKUP($F10,Tabla_1[#ALL],2,)</f>
        <v>Huawei</v>
      </c>
      <c r="H10" s="16" t="str">
        <f>VLOOKUP($F10,Tabla_1[#ALL],3,)</f>
        <v>HUAWEI SMART POWER SENSOR DDSU666-H</v>
      </c>
      <c r="I10" s="17">
        <f>VLOOKUP($F10,Tabla_1[#ALL],6,)</f>
        <v>70606.25</v>
      </c>
      <c r="J10" s="18">
        <v>1.0</v>
      </c>
      <c r="K10" s="19">
        <f t="shared" si="1"/>
        <v>70606.25</v>
      </c>
    </row>
    <row r="11" ht="22.5" customHeight="1">
      <c r="A11" s="10" t="s">
        <v>29</v>
      </c>
      <c r="B11" s="11" t="s">
        <v>12</v>
      </c>
      <c r="C11" s="12">
        <f>'tablas de Precios kit BBDD Prod'!M26</f>
        <v>3190395.899</v>
      </c>
      <c r="F11" s="15"/>
      <c r="G11" s="16"/>
      <c r="H11" s="16"/>
      <c r="I11" s="16"/>
      <c r="J11" s="18">
        <v>1.0</v>
      </c>
      <c r="K11" s="19">
        <f t="shared" si="1"/>
        <v>0</v>
      </c>
    </row>
    <row r="12" ht="22.5" customHeight="1">
      <c r="A12" s="20"/>
      <c r="B12" s="11" t="s">
        <v>30</v>
      </c>
      <c r="C12" s="12">
        <f>'tablas de Precios kit BBDD Prod'!R26</f>
        <v>3213182.459</v>
      </c>
      <c r="F12" s="15"/>
      <c r="G12" s="16"/>
      <c r="H12" s="16"/>
      <c r="I12" s="16"/>
      <c r="J12" s="18">
        <v>1.0</v>
      </c>
      <c r="K12" s="19">
        <f t="shared" si="1"/>
        <v>0</v>
      </c>
    </row>
    <row r="13" ht="22.5" customHeight="1">
      <c r="A13" s="20"/>
      <c r="B13" s="11" t="s">
        <v>18</v>
      </c>
      <c r="C13" s="12">
        <f>'tablas de Precios kit BBDD Prod'!W26</f>
        <v>3863354.774</v>
      </c>
      <c r="F13" s="15"/>
      <c r="G13" s="16"/>
      <c r="H13" s="16"/>
      <c r="I13" s="16"/>
      <c r="J13" s="18">
        <v>1.0</v>
      </c>
      <c r="K13" s="19">
        <f t="shared" si="1"/>
        <v>0</v>
      </c>
    </row>
    <row r="14" ht="22.5" customHeight="1">
      <c r="A14" s="20"/>
      <c r="B14" s="11" t="s">
        <v>21</v>
      </c>
      <c r="C14" s="12">
        <f>'tablas de Precios kit BBDD Prod'!AB26</f>
        <v>3962824.641</v>
      </c>
      <c r="F14" s="15"/>
      <c r="G14" s="16"/>
      <c r="H14" s="16"/>
      <c r="I14" s="16"/>
      <c r="J14" s="18">
        <v>1.0</v>
      </c>
      <c r="K14" s="19">
        <f t="shared" si="1"/>
        <v>0</v>
      </c>
    </row>
    <row r="15" ht="22.5" customHeight="1">
      <c r="A15" s="20"/>
      <c r="B15" s="11" t="s">
        <v>31</v>
      </c>
      <c r="C15" s="12">
        <f>'tablas de Precios kit BBDD Prod'!AG26</f>
        <v>5776631.017</v>
      </c>
      <c r="F15" s="15"/>
      <c r="G15" s="16"/>
      <c r="H15" s="16"/>
      <c r="I15" s="16"/>
      <c r="J15" s="18">
        <v>1.0</v>
      </c>
      <c r="K15" s="19">
        <f t="shared" si="1"/>
        <v>0</v>
      </c>
    </row>
    <row r="16" ht="22.5" customHeight="1">
      <c r="A16" s="20"/>
      <c r="B16" s="11" t="s">
        <v>26</v>
      </c>
      <c r="C16" s="12">
        <f>'tablas de Precios kit BBDD Prod'!AL26</f>
        <v>6523115.216</v>
      </c>
      <c r="F16" s="15"/>
      <c r="G16" s="16"/>
      <c r="H16" s="16"/>
      <c r="I16" s="16"/>
      <c r="J16" s="18">
        <v>1.0</v>
      </c>
      <c r="K16" s="19">
        <f t="shared" si="1"/>
        <v>0</v>
      </c>
    </row>
    <row r="17" ht="22.5" customHeight="1">
      <c r="A17" s="21"/>
      <c r="B17" s="11" t="s">
        <v>32</v>
      </c>
      <c r="C17" s="12">
        <f>'tablas de Precios kit BBDD Prod'!AQ26</f>
        <v>6692813.816</v>
      </c>
      <c r="F17" s="15"/>
      <c r="G17" s="16"/>
      <c r="H17" s="16"/>
      <c r="I17" s="16"/>
      <c r="J17" s="18">
        <v>1.0</v>
      </c>
      <c r="K17" s="19">
        <f t="shared" si="1"/>
        <v>0</v>
      </c>
    </row>
    <row r="18" ht="22.5" customHeight="1">
      <c r="F18" s="15"/>
      <c r="G18" s="16"/>
      <c r="H18" s="16"/>
      <c r="I18" s="16"/>
      <c r="J18" s="18">
        <v>1.0</v>
      </c>
      <c r="K18" s="19">
        <f t="shared" si="1"/>
        <v>0</v>
      </c>
    </row>
    <row r="19" ht="22.5" customHeight="1">
      <c r="F19" s="15"/>
      <c r="G19" s="16"/>
      <c r="H19" s="16"/>
      <c r="I19" s="16"/>
      <c r="J19" s="18">
        <v>1.0</v>
      </c>
      <c r="K19" s="19">
        <f t="shared" si="1"/>
        <v>0</v>
      </c>
    </row>
    <row r="20" ht="22.5" customHeight="1">
      <c r="A20" s="2" t="s">
        <v>33</v>
      </c>
      <c r="B20" s="3"/>
      <c r="C20" s="4"/>
      <c r="F20" s="15"/>
      <c r="G20" s="16"/>
      <c r="H20" s="16"/>
      <c r="I20" s="16"/>
      <c r="J20" s="18">
        <v>1.0</v>
      </c>
      <c r="K20" s="19">
        <f t="shared" si="1"/>
        <v>0</v>
      </c>
    </row>
    <row r="21" ht="22.5" customHeight="1">
      <c r="A21" s="5" t="s">
        <v>34</v>
      </c>
      <c r="B21" s="6" t="s">
        <v>2</v>
      </c>
      <c r="C21" s="6" t="s">
        <v>3</v>
      </c>
      <c r="F21" s="15"/>
      <c r="G21" s="16"/>
      <c r="H21" s="16"/>
      <c r="I21" s="16"/>
      <c r="J21" s="18">
        <v>1.0</v>
      </c>
      <c r="K21" s="19">
        <f t="shared" si="1"/>
        <v>0</v>
      </c>
    </row>
    <row r="22" ht="22.5" customHeight="1">
      <c r="A22" s="10" t="s">
        <v>29</v>
      </c>
      <c r="B22" s="11" t="s">
        <v>35</v>
      </c>
      <c r="C22" s="12">
        <f>'tablas de Precios kit BBDD Prod'!M80</f>
        <v>6101754.779</v>
      </c>
      <c r="F22" s="15"/>
      <c r="G22" s="16"/>
      <c r="H22" s="16"/>
      <c r="I22" s="16"/>
      <c r="J22" s="18">
        <v>1.0</v>
      </c>
      <c r="K22" s="19">
        <f t="shared" si="1"/>
        <v>0</v>
      </c>
    </row>
    <row r="23" ht="22.5" customHeight="1">
      <c r="A23" s="20"/>
      <c r="B23" s="11" t="s">
        <v>36</v>
      </c>
      <c r="C23" s="12">
        <f>'tablas de Precios kit BBDD Prod'!R80</f>
        <v>6017663.099</v>
      </c>
      <c r="F23" s="15"/>
      <c r="G23" s="16"/>
      <c r="H23" s="16"/>
      <c r="I23" s="16"/>
      <c r="J23" s="18">
        <v>1.0</v>
      </c>
      <c r="K23" s="19">
        <f t="shared" si="1"/>
        <v>0</v>
      </c>
    </row>
    <row r="24" ht="22.5" customHeight="1">
      <c r="A24" s="21"/>
      <c r="B24" s="11" t="s">
        <v>21</v>
      </c>
      <c r="C24" s="12">
        <f>'tablas de Precios kit BBDD Prod'!W80</f>
        <v>6978062.248</v>
      </c>
      <c r="F24" s="15"/>
      <c r="G24" s="16"/>
      <c r="H24" s="16"/>
      <c r="I24" s="16"/>
      <c r="J24" s="18">
        <v>1.0</v>
      </c>
      <c r="K24" s="19">
        <f t="shared" si="1"/>
        <v>0</v>
      </c>
    </row>
    <row r="25" ht="22.5" customHeight="1">
      <c r="A25" s="25"/>
      <c r="B25" s="26"/>
      <c r="C25" s="27"/>
      <c r="F25" s="15"/>
      <c r="G25" s="16"/>
      <c r="H25" s="16"/>
      <c r="I25" s="16"/>
      <c r="J25" s="28"/>
      <c r="K25" s="19">
        <f t="shared" si="1"/>
        <v>0</v>
      </c>
    </row>
    <row r="26" ht="22.5" customHeight="1">
      <c r="A26" s="10" t="s">
        <v>37</v>
      </c>
      <c r="B26" s="11" t="s">
        <v>35</v>
      </c>
      <c r="C26" s="12">
        <f>'tablas de Precios kit BBDD Prod'!M103</f>
        <v>1832971.399</v>
      </c>
      <c r="F26" s="15"/>
      <c r="G26" s="16"/>
      <c r="H26" s="16"/>
      <c r="I26" s="16"/>
      <c r="J26" s="28"/>
      <c r="K26" s="19">
        <f t="shared" si="1"/>
        <v>0</v>
      </c>
    </row>
    <row r="27" ht="22.5" customHeight="1">
      <c r="A27" s="20"/>
      <c r="B27" s="11" t="s">
        <v>36</v>
      </c>
      <c r="C27" s="12">
        <f>'tablas de Precios kit BBDD Prod'!R103</f>
        <v>2053269.659</v>
      </c>
      <c r="J27" s="29"/>
      <c r="K27" s="19">
        <f>SUM(K4:K26)</f>
        <v>5443498.201</v>
      </c>
    </row>
    <row r="28" ht="22.5" customHeight="1">
      <c r="A28" s="21"/>
      <c r="B28" s="11" t="s">
        <v>21</v>
      </c>
      <c r="C28" s="12">
        <f>'tablas de Precios kit BBDD Prod'!W103</f>
        <v>3006468.808</v>
      </c>
      <c r="J28" s="30" t="s">
        <v>38</v>
      </c>
      <c r="K28" s="19">
        <f>K27*0.19</f>
        <v>1034264.658</v>
      </c>
    </row>
    <row r="29" ht="22.5" customHeight="1">
      <c r="J29" s="31" t="s">
        <v>10</v>
      </c>
      <c r="K29" s="32">
        <f>SUM(K27:K28)</f>
        <v>6477762.859</v>
      </c>
    </row>
    <row r="30">
      <c r="K30" s="1"/>
    </row>
    <row r="31">
      <c r="A31" s="33" t="s">
        <v>39</v>
      </c>
      <c r="K31" s="1"/>
    </row>
    <row r="32">
      <c r="A32" s="34" t="s">
        <v>40</v>
      </c>
      <c r="K32" s="1"/>
    </row>
    <row r="33">
      <c r="A33" s="34" t="s">
        <v>41</v>
      </c>
      <c r="K33" s="1"/>
    </row>
    <row r="34">
      <c r="A34" s="34" t="s">
        <v>19</v>
      </c>
      <c r="K34" s="1"/>
    </row>
    <row r="35">
      <c r="A35" s="35" t="s">
        <v>42</v>
      </c>
      <c r="K35" s="1"/>
    </row>
    <row r="36">
      <c r="A36" s="35" t="s">
        <v>43</v>
      </c>
      <c r="K36" s="1"/>
    </row>
    <row r="37">
      <c r="A37" s="35" t="s">
        <v>44</v>
      </c>
      <c r="K37" s="1"/>
    </row>
    <row r="38">
      <c r="A38" s="35" t="s">
        <v>45</v>
      </c>
      <c r="K38" s="1"/>
    </row>
    <row r="39">
      <c r="A39" s="35" t="s">
        <v>46</v>
      </c>
      <c r="K39" s="1"/>
    </row>
    <row r="40">
      <c r="A40" s="35" t="s">
        <v>47</v>
      </c>
      <c r="K40" s="1"/>
    </row>
    <row r="41">
      <c r="A41" s="35" t="s">
        <v>48</v>
      </c>
      <c r="K41" s="1"/>
    </row>
    <row r="42">
      <c r="A42" s="35" t="s">
        <v>49</v>
      </c>
      <c r="K42" s="1"/>
    </row>
    <row r="43">
      <c r="A43" s="35" t="s">
        <v>50</v>
      </c>
      <c r="K43" s="1"/>
    </row>
    <row r="44">
      <c r="K44" s="1"/>
    </row>
    <row r="45">
      <c r="K45" s="1"/>
    </row>
    <row r="46">
      <c r="K46" s="1"/>
    </row>
    <row r="47">
      <c r="K47" s="1"/>
    </row>
    <row r="48">
      <c r="K48" s="1"/>
    </row>
    <row r="49">
      <c r="K49" s="1"/>
    </row>
    <row r="50">
      <c r="K50" s="1"/>
    </row>
    <row r="51">
      <c r="K51" s="1"/>
    </row>
    <row r="52">
      <c r="K52" s="1"/>
    </row>
    <row r="53">
      <c r="K53" s="1"/>
    </row>
    <row r="54">
      <c r="K54" s="1"/>
    </row>
    <row r="55">
      <c r="K55" s="1"/>
    </row>
    <row r="56">
      <c r="K56" s="1"/>
    </row>
    <row r="57">
      <c r="K57" s="1"/>
    </row>
    <row r="58">
      <c r="K58" s="1"/>
    </row>
    <row r="59">
      <c r="K59" s="1"/>
    </row>
    <row r="60">
      <c r="K60" s="1"/>
    </row>
    <row r="61">
      <c r="K61" s="1"/>
    </row>
    <row r="62">
      <c r="K62" s="1"/>
    </row>
    <row r="63">
      <c r="K63" s="1"/>
    </row>
    <row r="64">
      <c r="K64" s="1"/>
    </row>
    <row r="65">
      <c r="K65" s="1"/>
    </row>
    <row r="66">
      <c r="K66" s="1"/>
    </row>
    <row r="67">
      <c r="K67" s="1"/>
    </row>
    <row r="68">
      <c r="K68" s="1"/>
    </row>
    <row r="69">
      <c r="K69" s="1"/>
    </row>
    <row r="70">
      <c r="K70" s="1"/>
    </row>
    <row r="71">
      <c r="K71" s="1"/>
    </row>
    <row r="72">
      <c r="K72" s="1"/>
    </row>
    <row r="73">
      <c r="K73" s="1"/>
    </row>
    <row r="74">
      <c r="K74" s="1"/>
    </row>
    <row r="75">
      <c r="K75" s="1"/>
    </row>
    <row r="76">
      <c r="K76" s="1"/>
    </row>
    <row r="77">
      <c r="K77" s="1"/>
    </row>
    <row r="78">
      <c r="K78" s="1"/>
    </row>
    <row r="79">
      <c r="K79" s="1"/>
    </row>
    <row r="80">
      <c r="K80" s="1"/>
    </row>
    <row r="81">
      <c r="K81" s="1"/>
    </row>
    <row r="82">
      <c r="K82" s="1"/>
    </row>
    <row r="83">
      <c r="K83" s="1"/>
    </row>
    <row r="84">
      <c r="K84" s="1"/>
    </row>
    <row r="85">
      <c r="K85" s="1"/>
    </row>
    <row r="86">
      <c r="K86" s="1"/>
    </row>
    <row r="87">
      <c r="K87" s="1"/>
    </row>
    <row r="88">
      <c r="K88" s="1"/>
    </row>
    <row r="89">
      <c r="K89" s="1"/>
    </row>
    <row r="90">
      <c r="K90" s="1"/>
    </row>
    <row r="91">
      <c r="K91" s="1"/>
    </row>
    <row r="92">
      <c r="K92" s="1"/>
    </row>
    <row r="93">
      <c r="K93" s="1"/>
    </row>
    <row r="94">
      <c r="K94" s="1"/>
    </row>
    <row r="95">
      <c r="K95" s="1"/>
    </row>
    <row r="96">
      <c r="K96" s="1"/>
    </row>
    <row r="97">
      <c r="K97" s="1"/>
    </row>
    <row r="98">
      <c r="K98" s="1"/>
    </row>
    <row r="99">
      <c r="K99" s="1"/>
    </row>
    <row r="100">
      <c r="K100" s="1"/>
    </row>
    <row r="101">
      <c r="K101" s="1"/>
    </row>
    <row r="102">
      <c r="K102" s="1"/>
    </row>
    <row r="103">
      <c r="K103" s="1"/>
    </row>
    <row r="104">
      <c r="K104" s="1"/>
    </row>
    <row r="105">
      <c r="K105" s="1"/>
    </row>
    <row r="106">
      <c r="K106" s="1"/>
    </row>
    <row r="107">
      <c r="K107" s="1"/>
    </row>
    <row r="108">
      <c r="K108" s="1"/>
    </row>
    <row r="109">
      <c r="K109" s="1"/>
    </row>
    <row r="110">
      <c r="K110" s="1"/>
    </row>
    <row r="111">
      <c r="K111" s="1"/>
    </row>
    <row r="112">
      <c r="K112" s="1"/>
    </row>
    <row r="113">
      <c r="K113" s="1"/>
    </row>
    <row r="114">
      <c r="K114" s="1"/>
    </row>
    <row r="115">
      <c r="K115" s="1"/>
    </row>
    <row r="116">
      <c r="K116" s="1"/>
    </row>
    <row r="117">
      <c r="K117" s="1"/>
    </row>
    <row r="118">
      <c r="K118" s="1"/>
    </row>
    <row r="119">
      <c r="K119" s="1"/>
    </row>
    <row r="120">
      <c r="K120" s="1"/>
    </row>
    <row r="121">
      <c r="K121" s="1"/>
    </row>
    <row r="122">
      <c r="K122" s="1"/>
    </row>
    <row r="123">
      <c r="K123" s="1"/>
    </row>
    <row r="124">
      <c r="K124" s="1"/>
    </row>
    <row r="125">
      <c r="K125" s="1"/>
    </row>
    <row r="126">
      <c r="K126" s="1"/>
    </row>
    <row r="127">
      <c r="K127" s="1"/>
    </row>
    <row r="128">
      <c r="K128" s="1"/>
    </row>
    <row r="129">
      <c r="K129" s="1"/>
    </row>
    <row r="130">
      <c r="K130" s="1"/>
    </row>
    <row r="131">
      <c r="K131" s="1"/>
    </row>
    <row r="132">
      <c r="K132" s="1"/>
    </row>
    <row r="133">
      <c r="K133" s="1"/>
    </row>
    <row r="134">
      <c r="K134" s="1"/>
    </row>
    <row r="135">
      <c r="K135" s="1"/>
    </row>
    <row r="136">
      <c r="K136" s="1"/>
    </row>
    <row r="137">
      <c r="K137" s="1"/>
    </row>
    <row r="138">
      <c r="K138" s="1"/>
    </row>
    <row r="139">
      <c r="K139" s="1"/>
    </row>
    <row r="140">
      <c r="K140" s="1"/>
    </row>
    <row r="141">
      <c r="K141" s="1"/>
    </row>
    <row r="142">
      <c r="K142" s="1"/>
    </row>
    <row r="143">
      <c r="K143" s="1"/>
    </row>
    <row r="144">
      <c r="K144" s="1"/>
    </row>
    <row r="145">
      <c r="K145" s="1"/>
    </row>
    <row r="146">
      <c r="K146" s="1"/>
    </row>
    <row r="147">
      <c r="K147" s="1"/>
    </row>
    <row r="148">
      <c r="K148" s="1"/>
    </row>
    <row r="149">
      <c r="K149" s="1"/>
    </row>
    <row r="150">
      <c r="K150" s="1"/>
    </row>
    <row r="151">
      <c r="K151" s="1"/>
    </row>
    <row r="152">
      <c r="K152" s="1"/>
    </row>
    <row r="153">
      <c r="K153" s="1"/>
    </row>
    <row r="154">
      <c r="K154" s="1"/>
    </row>
    <row r="155">
      <c r="K155" s="1"/>
    </row>
    <row r="156">
      <c r="K156" s="1"/>
    </row>
    <row r="157">
      <c r="K157" s="1"/>
    </row>
    <row r="158">
      <c r="K158" s="1"/>
    </row>
    <row r="159">
      <c r="K159" s="1"/>
    </row>
    <row r="160">
      <c r="K160" s="1"/>
    </row>
    <row r="161">
      <c r="K161" s="1"/>
    </row>
    <row r="162">
      <c r="K162" s="1"/>
    </row>
    <row r="163">
      <c r="K163" s="1"/>
    </row>
    <row r="164">
      <c r="K164" s="1"/>
    </row>
    <row r="165">
      <c r="K165" s="1"/>
    </row>
    <row r="166">
      <c r="K166" s="1"/>
    </row>
    <row r="167">
      <c r="K167" s="1"/>
    </row>
    <row r="168">
      <c r="K168" s="1"/>
    </row>
    <row r="169">
      <c r="K169" s="1"/>
    </row>
    <row r="170">
      <c r="K170" s="1"/>
    </row>
    <row r="171">
      <c r="K171" s="1"/>
    </row>
    <row r="172">
      <c r="K172" s="1"/>
    </row>
    <row r="173">
      <c r="K173" s="1"/>
    </row>
    <row r="174">
      <c r="K174" s="1"/>
    </row>
    <row r="175">
      <c r="K175" s="1"/>
    </row>
    <row r="176">
      <c r="K176" s="1"/>
    </row>
    <row r="177">
      <c r="K177" s="1"/>
    </row>
    <row r="178">
      <c r="K178" s="1"/>
    </row>
    <row r="179">
      <c r="K179" s="1"/>
    </row>
    <row r="180">
      <c r="K180" s="1"/>
    </row>
    <row r="181">
      <c r="K181" s="1"/>
    </row>
    <row r="182">
      <c r="K182" s="1"/>
    </row>
    <row r="183">
      <c r="K183" s="1"/>
    </row>
    <row r="184">
      <c r="K184" s="1"/>
    </row>
    <row r="185">
      <c r="K185" s="1"/>
    </row>
    <row r="186">
      <c r="K186" s="1"/>
    </row>
    <row r="187">
      <c r="K187" s="1"/>
    </row>
    <row r="188">
      <c r="K188" s="1"/>
    </row>
    <row r="189">
      <c r="K189" s="1"/>
    </row>
    <row r="190">
      <c r="K190" s="1"/>
    </row>
    <row r="191">
      <c r="K191" s="1"/>
    </row>
    <row r="192">
      <c r="K192" s="1"/>
    </row>
    <row r="193">
      <c r="K193" s="1"/>
    </row>
    <row r="194">
      <c r="K194" s="1"/>
    </row>
    <row r="195">
      <c r="K195" s="1"/>
    </row>
    <row r="196">
      <c r="K196" s="1"/>
    </row>
    <row r="197">
      <c r="K197" s="1"/>
    </row>
    <row r="198">
      <c r="K198" s="1"/>
    </row>
    <row r="199">
      <c r="K199" s="1"/>
    </row>
    <row r="200">
      <c r="K200" s="1"/>
    </row>
    <row r="201">
      <c r="K201" s="1"/>
    </row>
    <row r="202">
      <c r="K202" s="1"/>
    </row>
    <row r="203">
      <c r="K203" s="1"/>
    </row>
    <row r="204">
      <c r="K204" s="1"/>
    </row>
    <row r="205">
      <c r="K205" s="1"/>
    </row>
    <row r="206">
      <c r="K206" s="1"/>
    </row>
    <row r="207">
      <c r="K207" s="1"/>
    </row>
    <row r="208">
      <c r="K208" s="1"/>
    </row>
    <row r="209">
      <c r="K209" s="1"/>
    </row>
    <row r="210">
      <c r="K210" s="1"/>
    </row>
    <row r="211">
      <c r="K211" s="1"/>
    </row>
    <row r="212">
      <c r="K212" s="1"/>
    </row>
    <row r="213">
      <c r="K213" s="1"/>
    </row>
    <row r="214">
      <c r="K214" s="1"/>
    </row>
    <row r="215">
      <c r="K215" s="1"/>
    </row>
    <row r="216">
      <c r="K216" s="1"/>
    </row>
    <row r="217">
      <c r="K217" s="1"/>
    </row>
    <row r="218">
      <c r="K218" s="1"/>
    </row>
    <row r="219">
      <c r="K219" s="1"/>
    </row>
    <row r="220">
      <c r="K220" s="1"/>
    </row>
    <row r="221">
      <c r="K221" s="1"/>
    </row>
    <row r="222">
      <c r="K222" s="1"/>
    </row>
    <row r="223">
      <c r="K223" s="1"/>
    </row>
    <row r="224">
      <c r="K224" s="1"/>
    </row>
    <row r="225">
      <c r="K225" s="1"/>
    </row>
    <row r="226">
      <c r="K226" s="1"/>
    </row>
    <row r="227">
      <c r="K227" s="1"/>
    </row>
    <row r="228">
      <c r="K228" s="1"/>
    </row>
    <row r="229">
      <c r="K229" s="1"/>
    </row>
    <row r="230">
      <c r="K230" s="1"/>
    </row>
    <row r="231">
      <c r="K231" s="1"/>
    </row>
    <row r="232">
      <c r="K232" s="1"/>
    </row>
    <row r="233">
      <c r="K233" s="1"/>
    </row>
    <row r="234">
      <c r="K234" s="1"/>
    </row>
    <row r="235">
      <c r="K235" s="1"/>
    </row>
    <row r="236">
      <c r="K236" s="1"/>
    </row>
    <row r="237">
      <c r="K237" s="1"/>
    </row>
    <row r="238">
      <c r="K238" s="1"/>
    </row>
    <row r="239">
      <c r="K239" s="1"/>
    </row>
    <row r="240">
      <c r="K240" s="1"/>
    </row>
    <row r="241">
      <c r="K241" s="1"/>
    </row>
    <row r="242">
      <c r="K242" s="1"/>
    </row>
    <row r="243">
      <c r="K243" s="1"/>
    </row>
    <row r="244">
      <c r="K244" s="1"/>
    </row>
    <row r="245">
      <c r="K245" s="1"/>
    </row>
    <row r="246">
      <c r="K246" s="1"/>
    </row>
    <row r="247">
      <c r="K247" s="1"/>
    </row>
    <row r="248">
      <c r="K248" s="1"/>
    </row>
    <row r="249">
      <c r="K249" s="1"/>
    </row>
    <row r="250">
      <c r="K250" s="1"/>
    </row>
    <row r="251">
      <c r="K251" s="1"/>
    </row>
    <row r="252">
      <c r="K252" s="1"/>
    </row>
    <row r="253">
      <c r="K253" s="1"/>
    </row>
    <row r="254">
      <c r="K254" s="1"/>
    </row>
    <row r="255">
      <c r="K255" s="1"/>
    </row>
    <row r="256">
      <c r="K256" s="1"/>
    </row>
    <row r="257">
      <c r="K257" s="1"/>
    </row>
    <row r="258">
      <c r="K258" s="1"/>
    </row>
    <row r="259">
      <c r="K259" s="1"/>
    </row>
    <row r="260">
      <c r="K260" s="1"/>
    </row>
    <row r="261">
      <c r="K261" s="1"/>
    </row>
    <row r="262">
      <c r="K262" s="1"/>
    </row>
    <row r="263">
      <c r="K263" s="1"/>
    </row>
    <row r="264">
      <c r="K264" s="1"/>
    </row>
    <row r="265">
      <c r="K265" s="1"/>
    </row>
    <row r="266">
      <c r="K266" s="1"/>
    </row>
    <row r="267">
      <c r="K267" s="1"/>
    </row>
    <row r="268">
      <c r="K268" s="1"/>
    </row>
    <row r="269">
      <c r="K269" s="1"/>
    </row>
    <row r="270">
      <c r="K270" s="1"/>
    </row>
    <row r="271">
      <c r="K271" s="1"/>
    </row>
    <row r="272">
      <c r="K272" s="1"/>
    </row>
    <row r="273">
      <c r="K273" s="1"/>
    </row>
    <row r="274">
      <c r="K274" s="1"/>
    </row>
    <row r="275">
      <c r="K275" s="1"/>
    </row>
    <row r="276">
      <c r="K276" s="1"/>
    </row>
    <row r="277">
      <c r="K277" s="1"/>
    </row>
    <row r="278">
      <c r="K278" s="1"/>
    </row>
    <row r="279">
      <c r="K279" s="1"/>
    </row>
    <row r="280">
      <c r="K280" s="1"/>
    </row>
    <row r="281">
      <c r="K281" s="1"/>
    </row>
    <row r="282">
      <c r="K282" s="1"/>
    </row>
    <row r="283">
      <c r="K283" s="1"/>
    </row>
    <row r="284">
      <c r="K284" s="1"/>
    </row>
    <row r="285">
      <c r="K285" s="1"/>
    </row>
    <row r="286">
      <c r="K286" s="1"/>
    </row>
    <row r="287">
      <c r="K287" s="1"/>
    </row>
    <row r="288">
      <c r="K288" s="1"/>
    </row>
    <row r="289">
      <c r="K289" s="1"/>
    </row>
    <row r="290">
      <c r="K290" s="1"/>
    </row>
    <row r="291">
      <c r="K291" s="1"/>
    </row>
    <row r="292">
      <c r="K292" s="1"/>
    </row>
    <row r="293">
      <c r="K293" s="1"/>
    </row>
    <row r="294">
      <c r="K294" s="1"/>
    </row>
    <row r="295">
      <c r="K295" s="1"/>
    </row>
    <row r="296">
      <c r="K296" s="1"/>
    </row>
    <row r="297">
      <c r="K297" s="1"/>
    </row>
    <row r="298">
      <c r="K298" s="1"/>
    </row>
    <row r="299">
      <c r="K299" s="1"/>
    </row>
    <row r="300">
      <c r="K300" s="1"/>
    </row>
    <row r="301">
      <c r="K301" s="1"/>
    </row>
    <row r="302">
      <c r="K302" s="1"/>
    </row>
    <row r="303">
      <c r="K303" s="1"/>
    </row>
    <row r="304">
      <c r="K304" s="1"/>
    </row>
    <row r="305">
      <c r="K305" s="1"/>
    </row>
    <row r="306">
      <c r="K306" s="1"/>
    </row>
    <row r="307">
      <c r="K307" s="1"/>
    </row>
    <row r="308">
      <c r="K308" s="1"/>
    </row>
    <row r="309">
      <c r="K309" s="1"/>
    </row>
    <row r="310">
      <c r="K310" s="1"/>
    </row>
    <row r="311">
      <c r="K311" s="1"/>
    </row>
    <row r="312">
      <c r="K312" s="1"/>
    </row>
    <row r="313">
      <c r="K313" s="1"/>
    </row>
    <row r="314">
      <c r="K314" s="1"/>
    </row>
    <row r="315">
      <c r="K315" s="1"/>
    </row>
    <row r="316">
      <c r="K316" s="1"/>
    </row>
    <row r="317">
      <c r="K317" s="1"/>
    </row>
    <row r="318">
      <c r="K318" s="1"/>
    </row>
    <row r="319">
      <c r="K319" s="1"/>
    </row>
    <row r="320">
      <c r="K320" s="1"/>
    </row>
    <row r="321">
      <c r="K321" s="1"/>
    </row>
    <row r="322">
      <c r="K322" s="1"/>
    </row>
    <row r="323">
      <c r="K323" s="1"/>
    </row>
    <row r="324">
      <c r="K324" s="1"/>
    </row>
    <row r="325">
      <c r="K325" s="1"/>
    </row>
    <row r="326">
      <c r="K326" s="1"/>
    </row>
    <row r="327">
      <c r="K327" s="1"/>
    </row>
    <row r="328">
      <c r="K328" s="1"/>
    </row>
    <row r="329">
      <c r="K329" s="1"/>
    </row>
    <row r="330">
      <c r="K330" s="1"/>
    </row>
    <row r="331">
      <c r="K331" s="1"/>
    </row>
    <row r="332">
      <c r="K332" s="1"/>
    </row>
    <row r="333">
      <c r="K333" s="1"/>
    </row>
    <row r="334">
      <c r="K334" s="1"/>
    </row>
    <row r="335">
      <c r="K335" s="1"/>
    </row>
    <row r="336">
      <c r="K336" s="1"/>
    </row>
    <row r="337">
      <c r="K337" s="1"/>
    </row>
    <row r="338">
      <c r="K338" s="1"/>
    </row>
    <row r="339">
      <c r="K339" s="1"/>
    </row>
    <row r="340">
      <c r="K340" s="1"/>
    </row>
    <row r="341">
      <c r="K341" s="1"/>
    </row>
    <row r="342">
      <c r="K342" s="1"/>
    </row>
    <row r="343">
      <c r="K343" s="1"/>
    </row>
    <row r="344">
      <c r="K344" s="1"/>
    </row>
    <row r="345">
      <c r="K345" s="1"/>
    </row>
    <row r="346">
      <c r="K346" s="1"/>
    </row>
    <row r="347">
      <c r="K347" s="1"/>
    </row>
    <row r="348">
      <c r="K348" s="1"/>
    </row>
    <row r="349">
      <c r="K349" s="1"/>
    </row>
    <row r="350">
      <c r="K350" s="1"/>
    </row>
    <row r="351">
      <c r="K351" s="1"/>
    </row>
    <row r="352">
      <c r="K352" s="1"/>
    </row>
    <row r="353">
      <c r="K353" s="1"/>
    </row>
    <row r="354">
      <c r="K354" s="1"/>
    </row>
    <row r="355">
      <c r="K355" s="1"/>
    </row>
    <row r="356">
      <c r="K356" s="1"/>
    </row>
    <row r="357">
      <c r="K357" s="1"/>
    </row>
    <row r="358">
      <c r="K358" s="1"/>
    </row>
    <row r="359">
      <c r="K359" s="1"/>
    </row>
    <row r="360">
      <c r="K360" s="1"/>
    </row>
    <row r="361">
      <c r="K361" s="1"/>
    </row>
    <row r="362">
      <c r="K362" s="1"/>
    </row>
    <row r="363">
      <c r="K363" s="1"/>
    </row>
    <row r="364">
      <c r="K364" s="1"/>
    </row>
    <row r="365">
      <c r="K365" s="1"/>
    </row>
    <row r="366">
      <c r="K366" s="1"/>
    </row>
    <row r="367">
      <c r="K367" s="1"/>
    </row>
    <row r="368">
      <c r="K368" s="1"/>
    </row>
    <row r="369">
      <c r="K369" s="1"/>
    </row>
    <row r="370">
      <c r="K370" s="1"/>
    </row>
    <row r="371">
      <c r="K371" s="1"/>
    </row>
    <row r="372">
      <c r="K372" s="1"/>
    </row>
    <row r="373">
      <c r="K373" s="1"/>
    </row>
    <row r="374">
      <c r="K374" s="1"/>
    </row>
    <row r="375">
      <c r="K375" s="1"/>
    </row>
    <row r="376">
      <c r="K376" s="1"/>
    </row>
    <row r="377">
      <c r="K377" s="1"/>
    </row>
    <row r="378">
      <c r="K378" s="1"/>
    </row>
    <row r="379">
      <c r="K379" s="1"/>
    </row>
    <row r="380">
      <c r="K380" s="1"/>
    </row>
    <row r="381">
      <c r="K381" s="1"/>
    </row>
    <row r="382">
      <c r="K382" s="1"/>
    </row>
    <row r="383">
      <c r="K383" s="1"/>
    </row>
    <row r="384">
      <c r="K384" s="1"/>
    </row>
    <row r="385">
      <c r="K385" s="1"/>
    </row>
    <row r="386">
      <c r="K386" s="1"/>
    </row>
    <row r="387">
      <c r="K387" s="1"/>
    </row>
    <row r="388">
      <c r="K388" s="1"/>
    </row>
    <row r="389">
      <c r="K389" s="1"/>
    </row>
    <row r="390">
      <c r="K390" s="1"/>
    </row>
    <row r="391">
      <c r="K391" s="1"/>
    </row>
    <row r="392">
      <c r="K392" s="1"/>
    </row>
    <row r="393">
      <c r="K393" s="1"/>
    </row>
    <row r="394">
      <c r="K394" s="1"/>
    </row>
    <row r="395">
      <c r="K395" s="1"/>
    </row>
    <row r="396">
      <c r="K396" s="1"/>
    </row>
    <row r="397">
      <c r="K397" s="1"/>
    </row>
    <row r="398">
      <c r="K398" s="1"/>
    </row>
    <row r="399">
      <c r="K399" s="1"/>
    </row>
    <row r="400">
      <c r="K400" s="1"/>
    </row>
    <row r="401">
      <c r="K401" s="1"/>
    </row>
    <row r="402">
      <c r="K402" s="1"/>
    </row>
    <row r="403">
      <c r="K403" s="1"/>
    </row>
    <row r="404">
      <c r="K404" s="1"/>
    </row>
    <row r="405">
      <c r="K405" s="1"/>
    </row>
    <row r="406">
      <c r="K406" s="1"/>
    </row>
    <row r="407">
      <c r="K407" s="1"/>
    </row>
    <row r="408">
      <c r="K408" s="1"/>
    </row>
    <row r="409">
      <c r="K409" s="1"/>
    </row>
    <row r="410">
      <c r="K410" s="1"/>
    </row>
    <row r="411">
      <c r="K411" s="1"/>
    </row>
    <row r="412">
      <c r="K412" s="1"/>
    </row>
    <row r="413">
      <c r="K413" s="1"/>
    </row>
    <row r="414">
      <c r="K414" s="1"/>
    </row>
    <row r="415">
      <c r="K415" s="1"/>
    </row>
    <row r="416">
      <c r="K416" s="1"/>
    </row>
    <row r="417">
      <c r="K417" s="1"/>
    </row>
    <row r="418">
      <c r="K418" s="1"/>
    </row>
    <row r="419">
      <c r="K419" s="1"/>
    </row>
    <row r="420">
      <c r="K420" s="1"/>
    </row>
    <row r="421">
      <c r="K421" s="1"/>
    </row>
    <row r="422">
      <c r="K422" s="1"/>
    </row>
    <row r="423">
      <c r="K423" s="1"/>
    </row>
    <row r="424">
      <c r="K424" s="1"/>
    </row>
    <row r="425">
      <c r="K425" s="1"/>
    </row>
    <row r="426">
      <c r="K426" s="1"/>
    </row>
    <row r="427">
      <c r="K427" s="1"/>
    </row>
    <row r="428">
      <c r="K428" s="1"/>
    </row>
    <row r="429">
      <c r="K429" s="1"/>
    </row>
    <row r="430">
      <c r="K430" s="1"/>
    </row>
    <row r="431">
      <c r="K431" s="1"/>
    </row>
    <row r="432">
      <c r="K432" s="1"/>
    </row>
    <row r="433">
      <c r="K433" s="1"/>
    </row>
    <row r="434">
      <c r="K434" s="1"/>
    </row>
    <row r="435">
      <c r="K435" s="1"/>
    </row>
    <row r="436">
      <c r="K436" s="1"/>
    </row>
    <row r="437">
      <c r="K437" s="1"/>
    </row>
    <row r="438">
      <c r="K438" s="1"/>
    </row>
    <row r="439">
      <c r="K439" s="1"/>
    </row>
    <row r="440">
      <c r="K440" s="1"/>
    </row>
    <row r="441">
      <c r="K441" s="1"/>
    </row>
    <row r="442">
      <c r="K442" s="1"/>
    </row>
    <row r="443">
      <c r="K443" s="1"/>
    </row>
    <row r="444">
      <c r="K444" s="1"/>
    </row>
    <row r="445">
      <c r="K445" s="1"/>
    </row>
    <row r="446">
      <c r="K446" s="1"/>
    </row>
    <row r="447">
      <c r="K447" s="1"/>
    </row>
    <row r="448">
      <c r="K448" s="1"/>
    </row>
    <row r="449">
      <c r="K449" s="1"/>
    </row>
    <row r="450">
      <c r="K450" s="1"/>
    </row>
    <row r="451">
      <c r="K451" s="1"/>
    </row>
    <row r="452">
      <c r="K452" s="1"/>
    </row>
    <row r="453">
      <c r="K453" s="1"/>
    </row>
    <row r="454">
      <c r="K454" s="1"/>
    </row>
    <row r="455">
      <c r="K455" s="1"/>
    </row>
    <row r="456">
      <c r="K456" s="1"/>
    </row>
    <row r="457">
      <c r="K457" s="1"/>
    </row>
    <row r="458">
      <c r="K458" s="1"/>
    </row>
    <row r="459">
      <c r="K459" s="1"/>
    </row>
    <row r="460">
      <c r="K460" s="1"/>
    </row>
    <row r="461">
      <c r="K461" s="1"/>
    </row>
    <row r="462">
      <c r="K462" s="1"/>
    </row>
    <row r="463">
      <c r="K463" s="1"/>
    </row>
    <row r="464">
      <c r="K464" s="1"/>
    </row>
    <row r="465">
      <c r="K465" s="1"/>
    </row>
    <row r="466">
      <c r="K466" s="1"/>
    </row>
    <row r="467">
      <c r="K467" s="1"/>
    </row>
    <row r="468">
      <c r="K468" s="1"/>
    </row>
    <row r="469">
      <c r="K469" s="1"/>
    </row>
    <row r="470">
      <c r="K470" s="1"/>
    </row>
    <row r="471">
      <c r="K471" s="1"/>
    </row>
    <row r="472">
      <c r="K472" s="1"/>
    </row>
    <row r="473">
      <c r="K473" s="1"/>
    </row>
    <row r="474">
      <c r="K474" s="1"/>
    </row>
    <row r="475">
      <c r="K475" s="1"/>
    </row>
    <row r="476">
      <c r="K476" s="1"/>
    </row>
    <row r="477">
      <c r="K477" s="1"/>
    </row>
    <row r="478">
      <c r="K478" s="1"/>
    </row>
    <row r="479">
      <c r="K479" s="1"/>
    </row>
    <row r="480">
      <c r="K480" s="1"/>
    </row>
    <row r="481">
      <c r="K481" s="1"/>
    </row>
    <row r="482">
      <c r="K482" s="1"/>
    </row>
    <row r="483">
      <c r="K483" s="1"/>
    </row>
    <row r="484">
      <c r="K484" s="1"/>
    </row>
    <row r="485">
      <c r="K485" s="1"/>
    </row>
    <row r="486">
      <c r="K486" s="1"/>
    </row>
    <row r="487">
      <c r="K487" s="1"/>
    </row>
    <row r="488">
      <c r="K488" s="1"/>
    </row>
    <row r="489">
      <c r="K489" s="1"/>
    </row>
    <row r="490">
      <c r="K490" s="1"/>
    </row>
    <row r="491">
      <c r="K491" s="1"/>
    </row>
    <row r="492">
      <c r="K492" s="1"/>
    </row>
    <row r="493">
      <c r="K493" s="1"/>
    </row>
    <row r="494">
      <c r="K494" s="1"/>
    </row>
    <row r="495">
      <c r="K495" s="1"/>
    </row>
    <row r="496">
      <c r="K496" s="1"/>
    </row>
    <row r="497">
      <c r="K497" s="1"/>
    </row>
    <row r="498">
      <c r="K498" s="1"/>
    </row>
    <row r="499">
      <c r="K499" s="1"/>
    </row>
    <row r="500">
      <c r="K500" s="1"/>
    </row>
    <row r="501">
      <c r="K501" s="1"/>
    </row>
    <row r="502">
      <c r="K502" s="1"/>
    </row>
    <row r="503">
      <c r="K503" s="1"/>
    </row>
    <row r="504">
      <c r="K504" s="1"/>
    </row>
    <row r="505">
      <c r="K505" s="1"/>
    </row>
    <row r="506">
      <c r="K506" s="1"/>
    </row>
    <row r="507">
      <c r="K507" s="1"/>
    </row>
    <row r="508">
      <c r="K508" s="1"/>
    </row>
    <row r="509">
      <c r="K509" s="1"/>
    </row>
    <row r="510">
      <c r="K510" s="1"/>
    </row>
    <row r="511">
      <c r="K511" s="1"/>
    </row>
    <row r="512">
      <c r="K512" s="1"/>
    </row>
    <row r="513">
      <c r="K513" s="1"/>
    </row>
    <row r="514">
      <c r="K514" s="1"/>
    </row>
    <row r="515">
      <c r="K515" s="1"/>
    </row>
    <row r="516">
      <c r="K516" s="1"/>
    </row>
    <row r="517">
      <c r="K517" s="1"/>
    </row>
    <row r="518">
      <c r="K518" s="1"/>
    </row>
    <row r="519">
      <c r="K519" s="1"/>
    </row>
    <row r="520">
      <c r="K520" s="1"/>
    </row>
    <row r="521">
      <c r="K521" s="1"/>
    </row>
    <row r="522">
      <c r="K522" s="1"/>
    </row>
    <row r="523">
      <c r="K523" s="1"/>
    </row>
    <row r="524">
      <c r="K524" s="1"/>
    </row>
    <row r="525">
      <c r="K525" s="1"/>
    </row>
    <row r="526">
      <c r="K526" s="1"/>
    </row>
    <row r="527">
      <c r="K527" s="1"/>
    </row>
    <row r="528">
      <c r="K528" s="1"/>
    </row>
    <row r="529">
      <c r="K529" s="1"/>
    </row>
    <row r="530">
      <c r="K530" s="1"/>
    </row>
    <row r="531">
      <c r="K531" s="1"/>
    </row>
    <row r="532">
      <c r="K532" s="1"/>
    </row>
    <row r="533">
      <c r="K533" s="1"/>
    </row>
    <row r="534">
      <c r="K534" s="1"/>
    </row>
    <row r="535">
      <c r="K535" s="1"/>
    </row>
    <row r="536">
      <c r="K536" s="1"/>
    </row>
    <row r="537">
      <c r="K537" s="1"/>
    </row>
    <row r="538">
      <c r="K538" s="1"/>
    </row>
    <row r="539">
      <c r="K539" s="1"/>
    </row>
    <row r="540">
      <c r="K540" s="1"/>
    </row>
    <row r="541">
      <c r="K541" s="1"/>
    </row>
    <row r="542">
      <c r="K542" s="1"/>
    </row>
    <row r="543">
      <c r="K543" s="1"/>
    </row>
    <row r="544">
      <c r="K544" s="1"/>
    </row>
    <row r="545">
      <c r="K545" s="1"/>
    </row>
    <row r="546">
      <c r="K546" s="1"/>
    </row>
    <row r="547">
      <c r="K547" s="1"/>
    </row>
    <row r="548">
      <c r="K548" s="1"/>
    </row>
    <row r="549">
      <c r="K549" s="1"/>
    </row>
    <row r="550">
      <c r="K550" s="1"/>
    </row>
    <row r="551">
      <c r="K551" s="1"/>
    </row>
    <row r="552">
      <c r="K552" s="1"/>
    </row>
    <row r="553">
      <c r="K553" s="1"/>
    </row>
    <row r="554">
      <c r="K554" s="1"/>
    </row>
    <row r="555">
      <c r="K555" s="1"/>
    </row>
    <row r="556">
      <c r="K556" s="1"/>
    </row>
    <row r="557">
      <c r="K557" s="1"/>
    </row>
    <row r="558">
      <c r="K558" s="1"/>
    </row>
    <row r="559">
      <c r="K559" s="1"/>
    </row>
    <row r="560">
      <c r="K560" s="1"/>
    </row>
    <row r="561">
      <c r="K561" s="1"/>
    </row>
    <row r="562">
      <c r="K562" s="1"/>
    </row>
    <row r="563">
      <c r="K563" s="1"/>
    </row>
    <row r="564">
      <c r="K564" s="1"/>
    </row>
    <row r="565">
      <c r="K565" s="1"/>
    </row>
    <row r="566">
      <c r="K566" s="1"/>
    </row>
    <row r="567">
      <c r="K567" s="1"/>
    </row>
    <row r="568">
      <c r="K568" s="1"/>
    </row>
    <row r="569">
      <c r="K569" s="1"/>
    </row>
    <row r="570">
      <c r="K570" s="1"/>
    </row>
    <row r="571">
      <c r="K571" s="1"/>
    </row>
    <row r="572">
      <c r="K572" s="1"/>
    </row>
    <row r="573">
      <c r="K573" s="1"/>
    </row>
    <row r="574">
      <c r="K574" s="1"/>
    </row>
    <row r="575">
      <c r="K575" s="1"/>
    </row>
    <row r="576">
      <c r="K576" s="1"/>
    </row>
    <row r="577">
      <c r="K577" s="1"/>
    </row>
    <row r="578">
      <c r="K578" s="1"/>
    </row>
    <row r="579">
      <c r="K579" s="1"/>
    </row>
    <row r="580">
      <c r="K580" s="1"/>
    </row>
    <row r="581">
      <c r="K581" s="1"/>
    </row>
    <row r="582">
      <c r="K582" s="1"/>
    </row>
    <row r="583">
      <c r="K583" s="1"/>
    </row>
    <row r="584">
      <c r="K584" s="1"/>
    </row>
    <row r="585">
      <c r="K585" s="1"/>
    </row>
    <row r="586">
      <c r="K586" s="1"/>
    </row>
    <row r="587">
      <c r="K587" s="1"/>
    </row>
    <row r="588">
      <c r="K588" s="1"/>
    </row>
    <row r="589">
      <c r="K589" s="1"/>
    </row>
    <row r="590">
      <c r="K590" s="1"/>
    </row>
    <row r="591">
      <c r="K591" s="1"/>
    </row>
    <row r="592">
      <c r="K592" s="1"/>
    </row>
    <row r="593">
      <c r="K593" s="1"/>
    </row>
    <row r="594">
      <c r="K594" s="1"/>
    </row>
    <row r="595">
      <c r="K595" s="1"/>
    </row>
    <row r="596">
      <c r="K596" s="1"/>
    </row>
    <row r="597">
      <c r="K597" s="1"/>
    </row>
    <row r="598">
      <c r="K598" s="1"/>
    </row>
    <row r="599">
      <c r="K599" s="1"/>
    </row>
    <row r="600">
      <c r="K600" s="1"/>
    </row>
    <row r="601">
      <c r="K601" s="1"/>
    </row>
    <row r="602">
      <c r="K602" s="1"/>
    </row>
    <row r="603">
      <c r="K603" s="1"/>
    </row>
    <row r="604">
      <c r="K604" s="1"/>
    </row>
    <row r="605">
      <c r="K605" s="1"/>
    </row>
    <row r="606">
      <c r="K606" s="1"/>
    </row>
    <row r="607">
      <c r="K607" s="1"/>
    </row>
    <row r="608">
      <c r="K608" s="1"/>
    </row>
    <row r="609">
      <c r="K609" s="1"/>
    </row>
    <row r="610">
      <c r="K610" s="1"/>
    </row>
    <row r="611">
      <c r="K611" s="1"/>
    </row>
    <row r="612">
      <c r="K612" s="1"/>
    </row>
    <row r="613">
      <c r="K613" s="1"/>
    </row>
    <row r="614">
      <c r="K614" s="1"/>
    </row>
    <row r="615">
      <c r="K615" s="1"/>
    </row>
    <row r="616">
      <c r="K616" s="1"/>
    </row>
    <row r="617">
      <c r="K617" s="1"/>
    </row>
    <row r="618">
      <c r="K618" s="1"/>
    </row>
    <row r="619">
      <c r="K619" s="1"/>
    </row>
    <row r="620">
      <c r="K620" s="1"/>
    </row>
    <row r="621">
      <c r="K621" s="1"/>
    </row>
    <row r="622">
      <c r="K622" s="1"/>
    </row>
    <row r="623">
      <c r="K623" s="1"/>
    </row>
    <row r="624">
      <c r="K624" s="1"/>
    </row>
    <row r="625">
      <c r="K625" s="1"/>
    </row>
    <row r="626">
      <c r="K626" s="1"/>
    </row>
    <row r="627">
      <c r="K627" s="1"/>
    </row>
    <row r="628">
      <c r="K628" s="1"/>
    </row>
    <row r="629">
      <c r="K629" s="1"/>
    </row>
    <row r="630">
      <c r="K630" s="1"/>
    </row>
    <row r="631">
      <c r="K631" s="1"/>
    </row>
    <row r="632">
      <c r="K632" s="1"/>
    </row>
    <row r="633">
      <c r="K633" s="1"/>
    </row>
    <row r="634">
      <c r="K634" s="1"/>
    </row>
    <row r="635">
      <c r="K635" s="1"/>
    </row>
    <row r="636">
      <c r="K636" s="1"/>
    </row>
    <row r="637">
      <c r="K637" s="1"/>
    </row>
    <row r="638">
      <c r="K638" s="1"/>
    </row>
    <row r="639">
      <c r="K639" s="1"/>
    </row>
    <row r="640">
      <c r="K640" s="1"/>
    </row>
    <row r="641">
      <c r="K641" s="1"/>
    </row>
    <row r="642">
      <c r="K642" s="1"/>
    </row>
    <row r="643">
      <c r="K643" s="1"/>
    </row>
    <row r="644">
      <c r="K644" s="1"/>
    </row>
    <row r="645">
      <c r="K645" s="1"/>
    </row>
    <row r="646">
      <c r="K646" s="1"/>
    </row>
    <row r="647">
      <c r="K647" s="1"/>
    </row>
    <row r="648">
      <c r="K648" s="1"/>
    </row>
    <row r="649">
      <c r="K649" s="1"/>
    </row>
    <row r="650">
      <c r="K650" s="1"/>
    </row>
    <row r="651">
      <c r="K651" s="1"/>
    </row>
    <row r="652">
      <c r="K652" s="1"/>
    </row>
    <row r="653">
      <c r="K653" s="1"/>
    </row>
    <row r="654">
      <c r="K654" s="1"/>
    </row>
    <row r="655">
      <c r="K655" s="1"/>
    </row>
    <row r="656">
      <c r="K656" s="1"/>
    </row>
    <row r="657">
      <c r="K657" s="1"/>
    </row>
    <row r="658">
      <c r="K658" s="1"/>
    </row>
    <row r="659">
      <c r="K659" s="1"/>
    </row>
    <row r="660">
      <c r="K660" s="1"/>
    </row>
    <row r="661">
      <c r="K661" s="1"/>
    </row>
    <row r="662">
      <c r="K662" s="1"/>
    </row>
    <row r="663">
      <c r="K663" s="1"/>
    </row>
    <row r="664">
      <c r="K664" s="1"/>
    </row>
    <row r="665">
      <c r="K665" s="1"/>
    </row>
    <row r="666">
      <c r="K666" s="1"/>
    </row>
    <row r="667">
      <c r="K667" s="1"/>
    </row>
    <row r="668">
      <c r="K668" s="1"/>
    </row>
    <row r="669">
      <c r="K669" s="1"/>
    </row>
    <row r="670">
      <c r="K670" s="1"/>
    </row>
    <row r="671">
      <c r="K671" s="1"/>
    </row>
    <row r="672">
      <c r="K672" s="1"/>
    </row>
    <row r="673">
      <c r="K673" s="1"/>
    </row>
    <row r="674">
      <c r="K674" s="1"/>
    </row>
    <row r="675">
      <c r="K675" s="1"/>
    </row>
    <row r="676">
      <c r="K676" s="1"/>
    </row>
    <row r="677">
      <c r="K677" s="1"/>
    </row>
    <row r="678">
      <c r="K678" s="1"/>
    </row>
    <row r="679">
      <c r="K679" s="1"/>
    </row>
    <row r="680">
      <c r="K680" s="1"/>
    </row>
    <row r="681">
      <c r="K681" s="1"/>
    </row>
    <row r="682">
      <c r="K682" s="1"/>
    </row>
    <row r="683">
      <c r="K683" s="1"/>
    </row>
    <row r="684">
      <c r="K684" s="1"/>
    </row>
    <row r="685">
      <c r="K685" s="1"/>
    </row>
    <row r="686">
      <c r="K686" s="1"/>
    </row>
    <row r="687">
      <c r="K687" s="1"/>
    </row>
    <row r="688">
      <c r="K688" s="1"/>
    </row>
    <row r="689">
      <c r="K689" s="1"/>
    </row>
    <row r="690">
      <c r="K690" s="1"/>
    </row>
    <row r="691">
      <c r="K691" s="1"/>
    </row>
    <row r="692">
      <c r="K692" s="1"/>
    </row>
    <row r="693">
      <c r="K693" s="1"/>
    </row>
    <row r="694">
      <c r="K694" s="1"/>
    </row>
    <row r="695">
      <c r="K695" s="1"/>
    </row>
    <row r="696">
      <c r="K696" s="1"/>
    </row>
    <row r="697">
      <c r="K697" s="1"/>
    </row>
    <row r="698">
      <c r="K698" s="1"/>
    </row>
    <row r="699">
      <c r="K699" s="1"/>
    </row>
    <row r="700">
      <c r="K700" s="1"/>
    </row>
    <row r="701">
      <c r="K701" s="1"/>
    </row>
    <row r="702">
      <c r="K702" s="1"/>
    </row>
    <row r="703">
      <c r="K703" s="1"/>
    </row>
    <row r="704">
      <c r="K704" s="1"/>
    </row>
    <row r="705">
      <c r="K705" s="1"/>
    </row>
    <row r="706">
      <c r="K706" s="1"/>
    </row>
    <row r="707">
      <c r="K707" s="1"/>
    </row>
    <row r="708">
      <c r="K708" s="1"/>
    </row>
    <row r="709">
      <c r="K709" s="1"/>
    </row>
    <row r="710">
      <c r="K710" s="1"/>
    </row>
    <row r="711">
      <c r="K711" s="1"/>
    </row>
    <row r="712">
      <c r="K712" s="1"/>
    </row>
    <row r="713">
      <c r="K713" s="1"/>
    </row>
    <row r="714">
      <c r="K714" s="1"/>
    </row>
    <row r="715">
      <c r="K715" s="1"/>
    </row>
    <row r="716">
      <c r="K716" s="1"/>
    </row>
    <row r="717">
      <c r="K717" s="1"/>
    </row>
    <row r="718">
      <c r="K718" s="1"/>
    </row>
    <row r="719">
      <c r="K719" s="1"/>
    </row>
    <row r="720">
      <c r="K720" s="1"/>
    </row>
    <row r="721">
      <c r="K721" s="1"/>
    </row>
    <row r="722">
      <c r="K722" s="1"/>
    </row>
    <row r="723">
      <c r="K723" s="1"/>
    </row>
    <row r="724">
      <c r="K724" s="1"/>
    </row>
    <row r="725">
      <c r="K725" s="1"/>
    </row>
    <row r="726">
      <c r="K726" s="1"/>
    </row>
    <row r="727">
      <c r="K727" s="1"/>
    </row>
    <row r="728">
      <c r="K728" s="1"/>
    </row>
    <row r="729">
      <c r="K729" s="1"/>
    </row>
    <row r="730">
      <c r="K730" s="1"/>
    </row>
    <row r="731">
      <c r="K731" s="1"/>
    </row>
    <row r="732">
      <c r="K732" s="1"/>
    </row>
    <row r="733">
      <c r="K733" s="1"/>
    </row>
    <row r="734">
      <c r="K734" s="1"/>
    </row>
    <row r="735">
      <c r="K735" s="1"/>
    </row>
    <row r="736">
      <c r="K736" s="1"/>
    </row>
    <row r="737">
      <c r="K737" s="1"/>
    </row>
    <row r="738">
      <c r="K738" s="1"/>
    </row>
    <row r="739">
      <c r="K739" s="1"/>
    </row>
    <row r="740">
      <c r="K740" s="1"/>
    </row>
    <row r="741">
      <c r="K741" s="1"/>
    </row>
    <row r="742">
      <c r="K742" s="1"/>
    </row>
    <row r="743">
      <c r="K743" s="1"/>
    </row>
    <row r="744">
      <c r="K744" s="1"/>
    </row>
    <row r="745">
      <c r="K745" s="1"/>
    </row>
    <row r="746">
      <c r="K746" s="1"/>
    </row>
    <row r="747">
      <c r="K747" s="1"/>
    </row>
    <row r="748">
      <c r="K748" s="1"/>
    </row>
    <row r="749">
      <c r="K749" s="1"/>
    </row>
    <row r="750">
      <c r="K750" s="1"/>
    </row>
    <row r="751">
      <c r="K751" s="1"/>
    </row>
    <row r="752">
      <c r="K752" s="1"/>
    </row>
    <row r="753">
      <c r="K753" s="1"/>
    </row>
    <row r="754">
      <c r="K754" s="1"/>
    </row>
    <row r="755">
      <c r="K755" s="1"/>
    </row>
    <row r="756">
      <c r="K756" s="1"/>
    </row>
    <row r="757">
      <c r="K757" s="1"/>
    </row>
    <row r="758">
      <c r="K758" s="1"/>
    </row>
    <row r="759">
      <c r="K759" s="1"/>
    </row>
    <row r="760">
      <c r="K760" s="1"/>
    </row>
    <row r="761">
      <c r="K761" s="1"/>
    </row>
    <row r="762">
      <c r="K762" s="1"/>
    </row>
    <row r="763">
      <c r="K763" s="1"/>
    </row>
    <row r="764">
      <c r="K764" s="1"/>
    </row>
    <row r="765">
      <c r="K765" s="1"/>
    </row>
    <row r="766">
      <c r="K766" s="1"/>
    </row>
    <row r="767">
      <c r="K767" s="1"/>
    </row>
    <row r="768">
      <c r="K768" s="1"/>
    </row>
    <row r="769">
      <c r="K769" s="1"/>
    </row>
    <row r="770">
      <c r="K770" s="1"/>
    </row>
    <row r="771">
      <c r="K771" s="1"/>
    </row>
    <row r="772">
      <c r="K772" s="1"/>
    </row>
    <row r="773">
      <c r="K773" s="1"/>
    </row>
    <row r="774">
      <c r="K774" s="1"/>
    </row>
    <row r="775">
      <c r="K775" s="1"/>
    </row>
    <row r="776">
      <c r="K776" s="1"/>
    </row>
    <row r="777">
      <c r="K777" s="1"/>
    </row>
    <row r="778">
      <c r="K778" s="1"/>
    </row>
    <row r="779">
      <c r="K779" s="1"/>
    </row>
    <row r="780">
      <c r="K780" s="1"/>
    </row>
    <row r="781">
      <c r="K781" s="1"/>
    </row>
    <row r="782">
      <c r="K782" s="1"/>
    </row>
    <row r="783">
      <c r="K783" s="1"/>
    </row>
    <row r="784">
      <c r="K784" s="1"/>
    </row>
    <row r="785">
      <c r="K785" s="1"/>
    </row>
    <row r="786">
      <c r="K786" s="1"/>
    </row>
    <row r="787">
      <c r="K787" s="1"/>
    </row>
    <row r="788">
      <c r="K788" s="1"/>
    </row>
    <row r="789">
      <c r="K789" s="1"/>
    </row>
    <row r="790">
      <c r="K790" s="1"/>
    </row>
    <row r="791">
      <c r="K791" s="1"/>
    </row>
    <row r="792">
      <c r="K792" s="1"/>
    </row>
    <row r="793">
      <c r="K793" s="1"/>
    </row>
    <row r="794">
      <c r="K794" s="1"/>
    </row>
    <row r="795">
      <c r="K795" s="1"/>
    </row>
    <row r="796">
      <c r="K796" s="1"/>
    </row>
    <row r="797">
      <c r="K797" s="1"/>
    </row>
    <row r="798">
      <c r="K798" s="1"/>
    </row>
    <row r="799">
      <c r="K799" s="1"/>
    </row>
    <row r="800">
      <c r="K800" s="1"/>
    </row>
    <row r="801">
      <c r="K801" s="1"/>
    </row>
    <row r="802">
      <c r="K802" s="1"/>
    </row>
    <row r="803">
      <c r="K803" s="1"/>
    </row>
    <row r="804">
      <c r="K804" s="1"/>
    </row>
    <row r="805">
      <c r="K805" s="1"/>
    </row>
    <row r="806">
      <c r="K806" s="1"/>
    </row>
    <row r="807">
      <c r="K807" s="1"/>
    </row>
    <row r="808">
      <c r="K808" s="1"/>
    </row>
    <row r="809">
      <c r="K809" s="1"/>
    </row>
    <row r="810">
      <c r="K810" s="1"/>
    </row>
    <row r="811">
      <c r="K811" s="1"/>
    </row>
    <row r="812">
      <c r="K812" s="1"/>
    </row>
    <row r="813">
      <c r="K813" s="1"/>
    </row>
    <row r="814">
      <c r="K814" s="1"/>
    </row>
    <row r="815">
      <c r="K815" s="1"/>
    </row>
    <row r="816">
      <c r="K816" s="1"/>
    </row>
    <row r="817">
      <c r="K817" s="1"/>
    </row>
    <row r="818">
      <c r="K818" s="1"/>
    </row>
    <row r="819">
      <c r="K819" s="1"/>
    </row>
    <row r="820">
      <c r="K820" s="1"/>
    </row>
    <row r="821">
      <c r="K821" s="1"/>
    </row>
    <row r="822">
      <c r="K822" s="1"/>
    </row>
    <row r="823">
      <c r="K823" s="1"/>
    </row>
    <row r="824">
      <c r="K824" s="1"/>
    </row>
    <row r="825">
      <c r="K825" s="1"/>
    </row>
    <row r="826">
      <c r="K826" s="1"/>
    </row>
    <row r="827">
      <c r="K827" s="1"/>
    </row>
    <row r="828">
      <c r="K828" s="1"/>
    </row>
    <row r="829">
      <c r="K829" s="1"/>
    </row>
    <row r="830">
      <c r="K830" s="1"/>
    </row>
    <row r="831">
      <c r="K831" s="1"/>
    </row>
    <row r="832">
      <c r="K832" s="1"/>
    </row>
    <row r="833">
      <c r="K833" s="1"/>
    </row>
    <row r="834">
      <c r="K834" s="1"/>
    </row>
    <row r="835">
      <c r="K835" s="1"/>
    </row>
    <row r="836">
      <c r="K836" s="1"/>
    </row>
    <row r="837">
      <c r="K837" s="1"/>
    </row>
    <row r="838">
      <c r="K838" s="1"/>
    </row>
    <row r="839">
      <c r="K839" s="1"/>
    </row>
    <row r="840">
      <c r="K840" s="1"/>
    </row>
    <row r="841">
      <c r="K841" s="1"/>
    </row>
    <row r="842">
      <c r="K842" s="1"/>
    </row>
    <row r="843">
      <c r="K843" s="1"/>
    </row>
    <row r="844">
      <c r="K844" s="1"/>
    </row>
    <row r="845">
      <c r="K845" s="1"/>
    </row>
    <row r="846">
      <c r="K846" s="1"/>
    </row>
    <row r="847">
      <c r="K847" s="1"/>
    </row>
    <row r="848">
      <c r="K848" s="1"/>
    </row>
    <row r="849">
      <c r="K849" s="1"/>
    </row>
    <row r="850">
      <c r="K850" s="1"/>
    </row>
    <row r="851">
      <c r="K851" s="1"/>
    </row>
    <row r="852">
      <c r="K852" s="1"/>
    </row>
    <row r="853">
      <c r="K853" s="1"/>
    </row>
    <row r="854">
      <c r="K854" s="1"/>
    </row>
    <row r="855">
      <c r="K855" s="1"/>
    </row>
    <row r="856">
      <c r="K856" s="1"/>
    </row>
    <row r="857">
      <c r="K857" s="1"/>
    </row>
    <row r="858">
      <c r="K858" s="1"/>
    </row>
    <row r="859">
      <c r="K859" s="1"/>
    </row>
    <row r="860">
      <c r="K860" s="1"/>
    </row>
    <row r="861">
      <c r="K861" s="1"/>
    </row>
    <row r="862">
      <c r="K862" s="1"/>
    </row>
    <row r="863">
      <c r="K863" s="1"/>
    </row>
    <row r="864">
      <c r="K864" s="1"/>
    </row>
    <row r="865">
      <c r="K865" s="1"/>
    </row>
    <row r="866">
      <c r="K866" s="1"/>
    </row>
    <row r="867">
      <c r="K867" s="1"/>
    </row>
    <row r="868">
      <c r="K868" s="1"/>
    </row>
    <row r="869">
      <c r="K869" s="1"/>
    </row>
    <row r="870">
      <c r="K870" s="1"/>
    </row>
    <row r="871">
      <c r="K871" s="1"/>
    </row>
    <row r="872">
      <c r="K872" s="1"/>
    </row>
    <row r="873">
      <c r="K873" s="1"/>
    </row>
    <row r="874">
      <c r="K874" s="1"/>
    </row>
    <row r="875">
      <c r="K875" s="1"/>
    </row>
    <row r="876">
      <c r="K876" s="1"/>
    </row>
    <row r="877">
      <c r="K877" s="1"/>
    </row>
    <row r="878">
      <c r="K878" s="1"/>
    </row>
    <row r="879">
      <c r="K879" s="1"/>
    </row>
    <row r="880">
      <c r="K880" s="1"/>
    </row>
    <row r="881">
      <c r="K881" s="1"/>
    </row>
    <row r="882">
      <c r="K882" s="1"/>
    </row>
    <row r="883">
      <c r="K883" s="1"/>
    </row>
    <row r="884">
      <c r="K884" s="1"/>
    </row>
    <row r="885">
      <c r="K885" s="1"/>
    </row>
    <row r="886">
      <c r="K886" s="1"/>
    </row>
    <row r="887">
      <c r="K887" s="1"/>
    </row>
    <row r="888">
      <c r="K888" s="1"/>
    </row>
    <row r="889">
      <c r="K889" s="1"/>
    </row>
    <row r="890">
      <c r="K890" s="1"/>
    </row>
    <row r="891">
      <c r="K891" s="1"/>
    </row>
    <row r="892">
      <c r="K892" s="1"/>
    </row>
    <row r="893">
      <c r="K893" s="1"/>
    </row>
    <row r="894">
      <c r="K894" s="1"/>
    </row>
    <row r="895">
      <c r="K895" s="1"/>
    </row>
    <row r="896">
      <c r="K896" s="1"/>
    </row>
    <row r="897">
      <c r="K897" s="1"/>
    </row>
    <row r="898">
      <c r="K898" s="1"/>
    </row>
    <row r="899">
      <c r="K899" s="1"/>
    </row>
    <row r="900">
      <c r="K900" s="1"/>
    </row>
    <row r="901">
      <c r="K901" s="1"/>
    </row>
    <row r="902">
      <c r="K902" s="1"/>
    </row>
    <row r="903">
      <c r="K903" s="1"/>
    </row>
    <row r="904">
      <c r="K904" s="1"/>
    </row>
    <row r="905">
      <c r="K905" s="1"/>
    </row>
    <row r="906">
      <c r="K906" s="1"/>
    </row>
    <row r="907">
      <c r="K907" s="1"/>
    </row>
    <row r="908">
      <c r="K908" s="1"/>
    </row>
    <row r="909">
      <c r="K909" s="1"/>
    </row>
    <row r="910">
      <c r="K910" s="1"/>
    </row>
    <row r="911">
      <c r="K911" s="1"/>
    </row>
    <row r="912">
      <c r="K912" s="1"/>
    </row>
    <row r="913">
      <c r="K913" s="1"/>
    </row>
    <row r="914">
      <c r="K914" s="1"/>
    </row>
    <row r="915">
      <c r="K915" s="1"/>
    </row>
    <row r="916">
      <c r="K916" s="1"/>
    </row>
    <row r="917">
      <c r="K917" s="1"/>
    </row>
    <row r="918">
      <c r="K918" s="1"/>
    </row>
    <row r="919">
      <c r="K919" s="1"/>
    </row>
    <row r="920">
      <c r="K920" s="1"/>
    </row>
    <row r="921">
      <c r="K921" s="1"/>
    </row>
    <row r="922">
      <c r="K922" s="1"/>
    </row>
    <row r="923">
      <c r="K923" s="1"/>
    </row>
    <row r="924">
      <c r="K924" s="1"/>
    </row>
    <row r="925">
      <c r="K925" s="1"/>
    </row>
    <row r="926">
      <c r="K926" s="1"/>
    </row>
    <row r="927">
      <c r="K927" s="1"/>
    </row>
    <row r="928">
      <c r="K928" s="1"/>
    </row>
    <row r="929">
      <c r="K929" s="1"/>
    </row>
    <row r="930">
      <c r="K930" s="1"/>
    </row>
    <row r="931">
      <c r="K931" s="1"/>
    </row>
    <row r="932">
      <c r="K932" s="1"/>
    </row>
    <row r="933">
      <c r="K933" s="1"/>
    </row>
    <row r="934">
      <c r="K934" s="1"/>
    </row>
    <row r="935">
      <c r="K935" s="1"/>
    </row>
    <row r="936">
      <c r="K936" s="1"/>
    </row>
    <row r="937">
      <c r="K937" s="1"/>
    </row>
    <row r="938">
      <c r="K938" s="1"/>
    </row>
    <row r="939">
      <c r="K939" s="1"/>
    </row>
    <row r="940">
      <c r="K940" s="1"/>
    </row>
    <row r="941">
      <c r="K941" s="1"/>
    </row>
    <row r="942">
      <c r="K942" s="1"/>
    </row>
    <row r="943">
      <c r="K943" s="1"/>
    </row>
    <row r="944">
      <c r="K944" s="1"/>
    </row>
    <row r="945">
      <c r="K945" s="1"/>
    </row>
    <row r="946">
      <c r="K946" s="1"/>
    </row>
    <row r="947">
      <c r="K947" s="1"/>
    </row>
    <row r="948">
      <c r="K948" s="1"/>
    </row>
    <row r="949">
      <c r="K949" s="1"/>
    </row>
    <row r="950">
      <c r="K950" s="1"/>
    </row>
    <row r="951">
      <c r="K951" s="1"/>
    </row>
    <row r="952">
      <c r="K952" s="1"/>
    </row>
    <row r="953">
      <c r="K953" s="1"/>
    </row>
    <row r="954">
      <c r="K954" s="1"/>
    </row>
    <row r="955">
      <c r="K955" s="1"/>
    </row>
    <row r="956">
      <c r="K956" s="1"/>
    </row>
    <row r="957">
      <c r="K957" s="1"/>
    </row>
    <row r="958">
      <c r="K958" s="1"/>
    </row>
    <row r="959">
      <c r="K959" s="1"/>
    </row>
    <row r="960">
      <c r="K960" s="1"/>
    </row>
    <row r="961">
      <c r="K961" s="1"/>
    </row>
    <row r="962">
      <c r="K962" s="1"/>
    </row>
    <row r="963">
      <c r="K963" s="1"/>
    </row>
    <row r="964">
      <c r="K964" s="1"/>
    </row>
    <row r="965">
      <c r="K965" s="1"/>
    </row>
    <row r="966">
      <c r="K966" s="1"/>
    </row>
    <row r="967">
      <c r="K967" s="1"/>
    </row>
    <row r="968">
      <c r="K968" s="1"/>
    </row>
    <row r="969">
      <c r="K969" s="1"/>
    </row>
    <row r="970">
      <c r="K970" s="1"/>
    </row>
    <row r="971">
      <c r="K971" s="1"/>
    </row>
    <row r="972">
      <c r="K972" s="1"/>
    </row>
    <row r="973">
      <c r="K973" s="1"/>
    </row>
    <row r="974">
      <c r="K974" s="1"/>
    </row>
    <row r="975">
      <c r="K975" s="1"/>
    </row>
    <row r="976">
      <c r="K976" s="1"/>
    </row>
    <row r="977">
      <c r="K977" s="1"/>
    </row>
    <row r="978">
      <c r="K978" s="1"/>
    </row>
    <row r="979">
      <c r="K979" s="1"/>
    </row>
    <row r="980">
      <c r="K980" s="1"/>
    </row>
    <row r="981">
      <c r="K981" s="1"/>
    </row>
    <row r="982">
      <c r="K982" s="1"/>
    </row>
    <row r="983">
      <c r="K983" s="1"/>
    </row>
    <row r="984">
      <c r="K984" s="1"/>
    </row>
    <row r="985">
      <c r="K985" s="1"/>
    </row>
    <row r="986">
      <c r="K986" s="1"/>
    </row>
    <row r="987">
      <c r="K987" s="1"/>
    </row>
    <row r="988">
      <c r="K988" s="1"/>
    </row>
    <row r="989">
      <c r="K989" s="1"/>
    </row>
    <row r="990">
      <c r="K990" s="1"/>
    </row>
    <row r="991">
      <c r="K991" s="1"/>
    </row>
    <row r="992">
      <c r="K992" s="1"/>
    </row>
    <row r="993">
      <c r="K993" s="1"/>
    </row>
    <row r="994">
      <c r="K994" s="1"/>
    </row>
    <row r="995">
      <c r="K995" s="1"/>
    </row>
    <row r="996">
      <c r="K996" s="1"/>
    </row>
  </sheetData>
  <mergeCells count="6">
    <mergeCell ref="A2:C2"/>
    <mergeCell ref="A4:A9"/>
    <mergeCell ref="A11:A17"/>
    <mergeCell ref="A20:C20"/>
    <mergeCell ref="A22:A24"/>
    <mergeCell ref="A26:A28"/>
  </mergeCells>
  <dataValidations>
    <dataValidation type="list" allowBlank="1" showErrorMessage="1" sqref="F6">
      <formula1>'BBDD conjunta'!$C$59:$C$75</formula1>
    </dataValidation>
    <dataValidation type="list" allowBlank="1" showErrorMessage="1" sqref="F5 F7:F26">
      <formula1>Tabla_1[Descripcion]</formula1>
    </dataValidation>
    <dataValidation type="custom" allowBlank="1" showDropDown="1" sqref="J4:K29">
      <formula1>AND(ISNUMBER(J4),(NOT(OR(NOT(ISERROR(DATEVALUE(J4))), AND(ISNUMBER(J4), LEFT(CELL("format", J4))="D")))))</formula1>
    </dataValidation>
    <dataValidation type="list" allowBlank="1" showErrorMessage="1" sqref="F4">
      <formula1>'BBDD conjunta'!$C$17:$C$58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56.0"/>
    <col customWidth="1" min="4" max="4" width="14.88"/>
    <col customWidth="1" min="5" max="5" width="49.88"/>
    <col customWidth="1" min="6" max="6" width="12.88"/>
    <col customWidth="1" min="8" max="8" width="14.0"/>
  </cols>
  <sheetData>
    <row r="1">
      <c r="H1" s="36"/>
    </row>
    <row r="2" ht="22.5" customHeight="1">
      <c r="C2" s="37" t="s">
        <v>5</v>
      </c>
      <c r="D2" s="37" t="s">
        <v>6</v>
      </c>
      <c r="E2" s="37" t="s">
        <v>7</v>
      </c>
      <c r="F2" s="37" t="s">
        <v>8</v>
      </c>
      <c r="G2" s="38" t="s">
        <v>51</v>
      </c>
      <c r="H2" s="38" t="s">
        <v>52</v>
      </c>
    </row>
    <row r="3" ht="22.5" customHeight="1">
      <c r="C3" s="39" t="s">
        <v>53</v>
      </c>
      <c r="D3" s="40" t="s">
        <v>54</v>
      </c>
      <c r="E3" s="39" t="s">
        <v>55</v>
      </c>
      <c r="F3" s="41">
        <v>89820.0</v>
      </c>
      <c r="G3" s="42">
        <v>1.25</v>
      </c>
      <c r="H3" s="43">
        <f t="shared" ref="H3:H83" si="1">F3*G3</f>
        <v>112275</v>
      </c>
    </row>
    <row r="4" ht="22.5" customHeight="1">
      <c r="C4" s="44" t="s">
        <v>56</v>
      </c>
      <c r="D4" s="45" t="s">
        <v>54</v>
      </c>
      <c r="E4" s="44" t="s">
        <v>57</v>
      </c>
      <c r="F4" s="46">
        <v>89340.0</v>
      </c>
      <c r="G4" s="42">
        <v>1.25</v>
      </c>
      <c r="H4" s="43">
        <f t="shared" si="1"/>
        <v>111675</v>
      </c>
    </row>
    <row r="5" ht="22.5" customHeight="1">
      <c r="C5" s="44" t="s">
        <v>58</v>
      </c>
      <c r="D5" s="45" t="s">
        <v>54</v>
      </c>
      <c r="E5" s="44" t="s">
        <v>59</v>
      </c>
      <c r="F5" s="46">
        <v>104358.0</v>
      </c>
      <c r="G5" s="42">
        <v>1.25</v>
      </c>
      <c r="H5" s="43">
        <f t="shared" si="1"/>
        <v>130447.5</v>
      </c>
    </row>
    <row r="6" ht="22.5" customHeight="1">
      <c r="C6" s="44" t="s">
        <v>60</v>
      </c>
      <c r="D6" s="45" t="s">
        <v>54</v>
      </c>
      <c r="E6" s="44" t="s">
        <v>61</v>
      </c>
      <c r="F6" s="46">
        <v>105104.0</v>
      </c>
      <c r="G6" s="42">
        <v>1.25</v>
      </c>
      <c r="H6" s="43">
        <f t="shared" si="1"/>
        <v>131380</v>
      </c>
    </row>
    <row r="7" ht="22.5" customHeight="1">
      <c r="C7" s="44" t="s">
        <v>17</v>
      </c>
      <c r="D7" s="45" t="s">
        <v>54</v>
      </c>
      <c r="E7" s="44" t="s">
        <v>62</v>
      </c>
      <c r="F7" s="46">
        <v>105690.9512195122</v>
      </c>
      <c r="G7" s="42">
        <v>1.25</v>
      </c>
      <c r="H7" s="43">
        <f t="shared" si="1"/>
        <v>132113.689</v>
      </c>
    </row>
    <row r="8" ht="22.5" customHeight="1">
      <c r="C8" s="44" t="s">
        <v>63</v>
      </c>
      <c r="D8" s="45" t="s">
        <v>64</v>
      </c>
      <c r="E8" s="44" t="s">
        <v>65</v>
      </c>
      <c r="F8" s="46">
        <v>90909.0</v>
      </c>
      <c r="G8" s="42">
        <v>1.25</v>
      </c>
      <c r="H8" s="43">
        <f t="shared" si="1"/>
        <v>113636.25</v>
      </c>
    </row>
    <row r="9" ht="22.5" customHeight="1">
      <c r="C9" s="47" t="s">
        <v>66</v>
      </c>
      <c r="D9" s="48" t="s">
        <v>64</v>
      </c>
      <c r="E9" s="47" t="s">
        <v>67</v>
      </c>
      <c r="F9" s="49">
        <v>105690.9512195122</v>
      </c>
      <c r="G9" s="42">
        <v>1.25</v>
      </c>
      <c r="H9" s="43">
        <f t="shared" si="1"/>
        <v>132113.689</v>
      </c>
    </row>
    <row r="10" ht="22.5" customHeight="1">
      <c r="C10" s="50" t="s">
        <v>68</v>
      </c>
      <c r="D10" s="51" t="s">
        <v>54</v>
      </c>
      <c r="E10" s="52" t="s">
        <v>69</v>
      </c>
      <c r="F10" s="53">
        <v>680.0</v>
      </c>
      <c r="G10" s="42">
        <v>1.25</v>
      </c>
      <c r="H10" s="43">
        <f t="shared" si="1"/>
        <v>850</v>
      </c>
    </row>
    <row r="11" ht="22.5" customHeight="1">
      <c r="C11" s="54" t="s">
        <v>70</v>
      </c>
      <c r="D11" s="48" t="s">
        <v>54</v>
      </c>
      <c r="E11" s="55" t="s">
        <v>71</v>
      </c>
      <c r="F11" s="56">
        <v>680.0</v>
      </c>
      <c r="G11" s="42">
        <v>1.25</v>
      </c>
      <c r="H11" s="43">
        <f t="shared" si="1"/>
        <v>850</v>
      </c>
    </row>
    <row r="12" ht="22.5" customHeight="1">
      <c r="C12" s="57" t="s">
        <v>72</v>
      </c>
      <c r="D12" s="51" t="s">
        <v>73</v>
      </c>
      <c r="E12" s="57" t="s">
        <v>74</v>
      </c>
      <c r="F12" s="58">
        <v>156800.0</v>
      </c>
      <c r="G12" s="42">
        <v>1.25</v>
      </c>
      <c r="H12" s="43">
        <f t="shared" si="1"/>
        <v>196000</v>
      </c>
    </row>
    <row r="13" ht="22.5" customHeight="1">
      <c r="C13" s="44" t="s">
        <v>75</v>
      </c>
      <c r="D13" s="51" t="s">
        <v>73</v>
      </c>
      <c r="E13" s="44" t="s">
        <v>76</v>
      </c>
      <c r="F13" s="46">
        <v>213458.823529412</v>
      </c>
      <c r="G13" s="42">
        <v>1.25</v>
      </c>
      <c r="H13" s="43">
        <f t="shared" si="1"/>
        <v>266823.5294</v>
      </c>
    </row>
    <row r="14" ht="22.5" customHeight="1">
      <c r="C14" s="44" t="s">
        <v>77</v>
      </c>
      <c r="D14" s="51" t="s">
        <v>73</v>
      </c>
      <c r="E14" s="59" t="s">
        <v>78</v>
      </c>
      <c r="F14" s="46">
        <v>322823.529411765</v>
      </c>
      <c r="G14" s="42">
        <v>1.25</v>
      </c>
      <c r="H14" s="43">
        <f t="shared" si="1"/>
        <v>403529.4118</v>
      </c>
    </row>
    <row r="15" ht="22.5" customHeight="1">
      <c r="C15" s="44" t="s">
        <v>79</v>
      </c>
      <c r="D15" s="51" t="s">
        <v>73</v>
      </c>
      <c r="E15" s="44" t="s">
        <v>80</v>
      </c>
      <c r="F15" s="46">
        <v>914270.5555555556</v>
      </c>
      <c r="G15" s="42">
        <v>1.25</v>
      </c>
      <c r="H15" s="43">
        <f t="shared" si="1"/>
        <v>1142838.194</v>
      </c>
    </row>
    <row r="16" ht="22.5" customHeight="1">
      <c r="C16" s="44" t="s">
        <v>81</v>
      </c>
      <c r="D16" s="51" t="s">
        <v>73</v>
      </c>
      <c r="E16" s="44" t="s">
        <v>82</v>
      </c>
      <c r="F16" s="46">
        <v>1784000.0</v>
      </c>
      <c r="G16" s="42">
        <v>1.25</v>
      </c>
      <c r="H16" s="43">
        <f t="shared" si="1"/>
        <v>2230000</v>
      </c>
    </row>
    <row r="17" ht="22.5" customHeight="1">
      <c r="C17" s="60" t="s">
        <v>83</v>
      </c>
      <c r="D17" s="51" t="s">
        <v>73</v>
      </c>
      <c r="E17" s="61" t="s">
        <v>84</v>
      </c>
      <c r="F17" s="46">
        <v>325389.473684211</v>
      </c>
      <c r="G17" s="42">
        <v>1.25</v>
      </c>
      <c r="H17" s="43">
        <f t="shared" si="1"/>
        <v>406736.8421</v>
      </c>
    </row>
    <row r="18" ht="22.5" customHeight="1">
      <c r="C18" s="45" t="s">
        <v>85</v>
      </c>
      <c r="D18" s="51" t="s">
        <v>73</v>
      </c>
      <c r="E18" s="44" t="s">
        <v>86</v>
      </c>
      <c r="F18" s="46">
        <v>366652.631578947</v>
      </c>
      <c r="G18" s="42">
        <v>1.25</v>
      </c>
      <c r="H18" s="43">
        <f t="shared" si="1"/>
        <v>458315.7895</v>
      </c>
    </row>
    <row r="19" ht="22.5" customHeight="1">
      <c r="C19" s="45" t="s">
        <v>87</v>
      </c>
      <c r="D19" s="51" t="s">
        <v>73</v>
      </c>
      <c r="E19" s="44" t="s">
        <v>88</v>
      </c>
      <c r="F19" s="46">
        <v>380800.0</v>
      </c>
      <c r="G19" s="42">
        <v>1.25</v>
      </c>
      <c r="H19" s="43">
        <f t="shared" si="1"/>
        <v>476000</v>
      </c>
    </row>
    <row r="20" ht="22.5" customHeight="1">
      <c r="C20" s="45" t="s">
        <v>89</v>
      </c>
      <c r="D20" s="51" t="s">
        <v>73</v>
      </c>
      <c r="E20" s="44" t="s">
        <v>90</v>
      </c>
      <c r="F20" s="46">
        <v>530526.315789474</v>
      </c>
      <c r="G20" s="42">
        <v>1.25</v>
      </c>
      <c r="H20" s="43">
        <f t="shared" si="1"/>
        <v>663157.8947</v>
      </c>
    </row>
    <row r="21" ht="22.5" customHeight="1">
      <c r="C21" s="45" t="s">
        <v>91</v>
      </c>
      <c r="D21" s="51" t="s">
        <v>73</v>
      </c>
      <c r="E21" s="44" t="s">
        <v>92</v>
      </c>
      <c r="F21" s="46">
        <v>598500.0</v>
      </c>
      <c r="G21" s="42">
        <v>1.25</v>
      </c>
      <c r="H21" s="43">
        <f t="shared" si="1"/>
        <v>748125</v>
      </c>
    </row>
    <row r="22" ht="22.5" customHeight="1">
      <c r="C22" s="45" t="s">
        <v>93</v>
      </c>
      <c r="D22" s="51" t="s">
        <v>73</v>
      </c>
      <c r="E22" s="44" t="s">
        <v>94</v>
      </c>
      <c r="F22" s="46">
        <v>637000.0</v>
      </c>
      <c r="G22" s="42">
        <v>1.25</v>
      </c>
      <c r="H22" s="43">
        <f t="shared" si="1"/>
        <v>796250</v>
      </c>
    </row>
    <row r="23" ht="22.5" customHeight="1">
      <c r="C23" s="45" t="s">
        <v>95</v>
      </c>
      <c r="D23" s="51" t="s">
        <v>73</v>
      </c>
      <c r="E23" s="44" t="s">
        <v>96</v>
      </c>
      <c r="F23" s="46">
        <v>807130.434782609</v>
      </c>
      <c r="G23" s="42">
        <v>1.25</v>
      </c>
      <c r="H23" s="43">
        <f t="shared" si="1"/>
        <v>1008913.043</v>
      </c>
    </row>
    <row r="24" ht="22.5" customHeight="1">
      <c r="C24" s="45" t="s">
        <v>97</v>
      </c>
      <c r="D24" s="51" t="s">
        <v>73</v>
      </c>
      <c r="E24" s="44" t="s">
        <v>98</v>
      </c>
      <c r="F24" s="46">
        <v>1034600.0</v>
      </c>
      <c r="G24" s="42">
        <v>1.25</v>
      </c>
      <c r="H24" s="43">
        <f t="shared" si="1"/>
        <v>1293250</v>
      </c>
    </row>
    <row r="25" ht="22.5" customHeight="1">
      <c r="C25" s="45" t="s">
        <v>99</v>
      </c>
      <c r="D25" s="51" t="s">
        <v>73</v>
      </c>
      <c r="E25" s="44" t="s">
        <v>100</v>
      </c>
      <c r="F25" s="46">
        <v>1590000.0</v>
      </c>
      <c r="G25" s="42">
        <v>1.25</v>
      </c>
      <c r="H25" s="43">
        <f t="shared" si="1"/>
        <v>1987500</v>
      </c>
    </row>
    <row r="26" ht="22.5" customHeight="1">
      <c r="C26" s="45" t="s">
        <v>99</v>
      </c>
      <c r="D26" s="51" t="s">
        <v>73</v>
      </c>
      <c r="E26" s="44" t="s">
        <v>101</v>
      </c>
      <c r="F26" s="46">
        <v>1527000.0</v>
      </c>
      <c r="G26" s="42">
        <v>1.25</v>
      </c>
      <c r="H26" s="43">
        <f t="shared" si="1"/>
        <v>1908750</v>
      </c>
    </row>
    <row r="27" ht="22.5" customHeight="1">
      <c r="C27" s="45" t="s">
        <v>102</v>
      </c>
      <c r="D27" s="51" t="s">
        <v>73</v>
      </c>
      <c r="E27" s="44" t="s">
        <v>103</v>
      </c>
      <c r="F27" s="46">
        <v>3575600.0</v>
      </c>
      <c r="G27" s="42">
        <v>1.25</v>
      </c>
      <c r="H27" s="43">
        <f t="shared" si="1"/>
        <v>4469500</v>
      </c>
    </row>
    <row r="28" ht="22.5" customHeight="1">
      <c r="C28" s="45" t="s">
        <v>104</v>
      </c>
      <c r="D28" s="51" t="s">
        <v>73</v>
      </c>
      <c r="E28" s="62" t="s">
        <v>105</v>
      </c>
      <c r="F28" s="46">
        <v>3117977.314814815</v>
      </c>
      <c r="G28" s="42">
        <v>1.25</v>
      </c>
      <c r="H28" s="43">
        <f t="shared" si="1"/>
        <v>3897471.644</v>
      </c>
    </row>
    <row r="29" ht="22.5" customHeight="1">
      <c r="C29" s="45" t="s">
        <v>106</v>
      </c>
      <c r="D29" s="51" t="s">
        <v>73</v>
      </c>
      <c r="E29" s="44" t="s">
        <v>107</v>
      </c>
      <c r="F29" s="46">
        <v>1390200.0</v>
      </c>
      <c r="G29" s="42">
        <v>1.25</v>
      </c>
      <c r="H29" s="43">
        <f t="shared" si="1"/>
        <v>1737750</v>
      </c>
    </row>
    <row r="30" ht="22.5" customHeight="1">
      <c r="C30" s="60" t="s">
        <v>108</v>
      </c>
      <c r="D30" s="51" t="s">
        <v>73</v>
      </c>
      <c r="E30" s="44" t="s">
        <v>109</v>
      </c>
      <c r="F30" s="46">
        <v>795200.0</v>
      </c>
      <c r="G30" s="42">
        <v>1.25</v>
      </c>
      <c r="H30" s="43">
        <f t="shared" si="1"/>
        <v>994000</v>
      </c>
    </row>
    <row r="31" ht="22.5" customHeight="1">
      <c r="C31" s="45" t="s">
        <v>110</v>
      </c>
      <c r="D31" s="51" t="s">
        <v>73</v>
      </c>
      <c r="E31" s="44" t="s">
        <v>111</v>
      </c>
      <c r="F31" s="46">
        <v>811024.0</v>
      </c>
      <c r="G31" s="42">
        <v>1.25</v>
      </c>
      <c r="H31" s="43">
        <f t="shared" si="1"/>
        <v>1013780</v>
      </c>
    </row>
    <row r="32" ht="22.5" customHeight="1">
      <c r="C32" s="60" t="s">
        <v>112</v>
      </c>
      <c r="D32" s="51" t="s">
        <v>73</v>
      </c>
      <c r="E32" s="44" t="s">
        <v>113</v>
      </c>
      <c r="F32" s="46">
        <v>897259.699074074</v>
      </c>
      <c r="G32" s="42">
        <v>1.25</v>
      </c>
      <c r="H32" s="43">
        <f t="shared" si="1"/>
        <v>1121574.624</v>
      </c>
    </row>
    <row r="33" ht="22.5" customHeight="1">
      <c r="C33" s="45" t="s">
        <v>114</v>
      </c>
      <c r="D33" s="45" t="s">
        <v>73</v>
      </c>
      <c r="E33" s="44" t="s">
        <v>115</v>
      </c>
      <c r="F33" s="63">
        <v>966335.9953703703</v>
      </c>
      <c r="G33" s="42">
        <v>1.25</v>
      </c>
      <c r="H33" s="43">
        <f t="shared" si="1"/>
        <v>1207919.994</v>
      </c>
    </row>
    <row r="34" ht="22.5" customHeight="1">
      <c r="C34" s="51" t="s">
        <v>116</v>
      </c>
      <c r="D34" s="51" t="s">
        <v>73</v>
      </c>
      <c r="E34" s="44" t="s">
        <v>117</v>
      </c>
      <c r="F34" s="58">
        <v>1005813.0</v>
      </c>
      <c r="G34" s="42">
        <v>1.25</v>
      </c>
      <c r="H34" s="43">
        <f t="shared" si="1"/>
        <v>1257266.25</v>
      </c>
    </row>
    <row r="35" ht="22.5" customHeight="1">
      <c r="C35" s="51" t="s">
        <v>118</v>
      </c>
      <c r="D35" s="51" t="s">
        <v>73</v>
      </c>
      <c r="E35" s="44" t="s">
        <v>119</v>
      </c>
      <c r="F35" s="58">
        <v>1043625.0</v>
      </c>
      <c r="G35" s="42">
        <v>1.25</v>
      </c>
      <c r="H35" s="43">
        <f t="shared" si="1"/>
        <v>1304531.25</v>
      </c>
    </row>
    <row r="36" ht="22.5" customHeight="1">
      <c r="C36" s="51" t="s">
        <v>120</v>
      </c>
      <c r="D36" s="51" t="s">
        <v>73</v>
      </c>
      <c r="E36" s="44" t="s">
        <v>121</v>
      </c>
      <c r="F36" s="58">
        <v>1156031.25</v>
      </c>
      <c r="G36" s="42">
        <v>1.25</v>
      </c>
      <c r="H36" s="43">
        <f t="shared" si="1"/>
        <v>1445039.063</v>
      </c>
    </row>
    <row r="37" ht="22.5" customHeight="1">
      <c r="C37" s="60" t="s">
        <v>122</v>
      </c>
      <c r="D37" s="51" t="s">
        <v>73</v>
      </c>
      <c r="E37" s="62" t="s">
        <v>123</v>
      </c>
      <c r="F37" s="58">
        <v>602874.3055555556</v>
      </c>
      <c r="G37" s="42">
        <v>1.25</v>
      </c>
      <c r="H37" s="43">
        <f t="shared" si="1"/>
        <v>753592.8819</v>
      </c>
    </row>
    <row r="38" ht="22.5" customHeight="1">
      <c r="C38" s="45" t="s">
        <v>124</v>
      </c>
      <c r="D38" s="51" t="s">
        <v>73</v>
      </c>
      <c r="E38" s="44" t="s">
        <v>125</v>
      </c>
      <c r="F38" s="46">
        <v>715432.0767195768</v>
      </c>
      <c r="G38" s="42">
        <v>1.25</v>
      </c>
      <c r="H38" s="43">
        <f t="shared" si="1"/>
        <v>894290.0959</v>
      </c>
    </row>
    <row r="39" ht="22.5" customHeight="1">
      <c r="C39" s="45" t="s">
        <v>126</v>
      </c>
      <c r="D39" s="51" t="s">
        <v>73</v>
      </c>
      <c r="E39" s="44" t="s">
        <v>127</v>
      </c>
      <c r="F39" s="46">
        <v>794387.037037037</v>
      </c>
      <c r="G39" s="42">
        <v>1.25</v>
      </c>
      <c r="H39" s="43">
        <f t="shared" si="1"/>
        <v>992983.7963</v>
      </c>
    </row>
    <row r="40" ht="22.5" customHeight="1">
      <c r="C40" s="45" t="s">
        <v>128</v>
      </c>
      <c r="D40" s="51" t="s">
        <v>73</v>
      </c>
      <c r="E40" s="57" t="s">
        <v>129</v>
      </c>
      <c r="F40" s="46">
        <v>924234.829059829</v>
      </c>
      <c r="G40" s="42">
        <v>1.25</v>
      </c>
      <c r="H40" s="43">
        <f t="shared" si="1"/>
        <v>1155293.536</v>
      </c>
    </row>
    <row r="41" ht="22.5" customHeight="1">
      <c r="C41" s="45" t="s">
        <v>130</v>
      </c>
      <c r="D41" s="51" t="s">
        <v>73</v>
      </c>
      <c r="E41" s="44" t="s">
        <v>131</v>
      </c>
      <c r="F41" s="46">
        <v>926830.4166666667</v>
      </c>
      <c r="G41" s="42">
        <v>1.25</v>
      </c>
      <c r="H41" s="43">
        <f t="shared" si="1"/>
        <v>1158538.021</v>
      </c>
    </row>
    <row r="42" ht="22.5" customHeight="1">
      <c r="C42" s="45" t="s">
        <v>132</v>
      </c>
      <c r="D42" s="51" t="s">
        <v>73</v>
      </c>
      <c r="E42" s="44" t="s">
        <v>133</v>
      </c>
      <c r="F42" s="46">
        <v>904047.4206349206</v>
      </c>
      <c r="G42" s="42">
        <v>1.25</v>
      </c>
      <c r="H42" s="43">
        <f t="shared" si="1"/>
        <v>1130059.276</v>
      </c>
    </row>
    <row r="43" ht="22.5" customHeight="1">
      <c r="C43" s="45" t="s">
        <v>134</v>
      </c>
      <c r="D43" s="51" t="s">
        <v>73</v>
      </c>
      <c r="E43" s="62" t="s">
        <v>135</v>
      </c>
      <c r="F43" s="46">
        <v>1711270.8333333335</v>
      </c>
      <c r="G43" s="42">
        <v>1.25</v>
      </c>
      <c r="H43" s="43">
        <f t="shared" si="1"/>
        <v>2139088.542</v>
      </c>
    </row>
    <row r="44" ht="22.5" customHeight="1">
      <c r="C44" s="45" t="s">
        <v>136</v>
      </c>
      <c r="D44" s="51" t="s">
        <v>73</v>
      </c>
      <c r="E44" s="44" t="s">
        <v>137</v>
      </c>
      <c r="F44" s="46">
        <v>1953419.4444444445</v>
      </c>
      <c r="G44" s="42">
        <v>1.25</v>
      </c>
      <c r="H44" s="43">
        <f t="shared" si="1"/>
        <v>2441774.306</v>
      </c>
    </row>
    <row r="45" ht="22.5" customHeight="1">
      <c r="C45" s="45" t="s">
        <v>138</v>
      </c>
      <c r="D45" s="51" t="s">
        <v>73</v>
      </c>
      <c r="E45" s="44" t="s">
        <v>139</v>
      </c>
      <c r="F45" s="46">
        <v>2042038.888888889</v>
      </c>
      <c r="G45" s="42">
        <v>1.25</v>
      </c>
      <c r="H45" s="43">
        <f t="shared" si="1"/>
        <v>2552548.611</v>
      </c>
    </row>
    <row r="46" ht="22.5" customHeight="1">
      <c r="C46" s="45" t="s">
        <v>140</v>
      </c>
      <c r="D46" s="51" t="s">
        <v>73</v>
      </c>
      <c r="E46" s="44" t="s">
        <v>141</v>
      </c>
      <c r="F46" s="46">
        <v>3044370.0</v>
      </c>
      <c r="G46" s="42">
        <v>1.25</v>
      </c>
      <c r="H46" s="43">
        <f t="shared" si="1"/>
        <v>3805462.5</v>
      </c>
    </row>
    <row r="47" ht="22.5" customHeight="1">
      <c r="C47" s="45" t="s">
        <v>140</v>
      </c>
      <c r="D47" s="51" t="s">
        <v>73</v>
      </c>
      <c r="E47" s="44" t="s">
        <v>142</v>
      </c>
      <c r="F47" s="46">
        <v>3016643.2539682537</v>
      </c>
      <c r="G47" s="42">
        <v>1.25</v>
      </c>
      <c r="H47" s="43">
        <f t="shared" si="1"/>
        <v>3770804.067</v>
      </c>
    </row>
    <row r="48" ht="22.5" customHeight="1">
      <c r="C48" s="45" t="s">
        <v>143</v>
      </c>
      <c r="D48" s="51" t="s">
        <v>73</v>
      </c>
      <c r="E48" s="44" t="s">
        <v>144</v>
      </c>
      <c r="F48" s="46">
        <v>3986711.0</v>
      </c>
      <c r="G48" s="42">
        <v>1.25</v>
      </c>
      <c r="H48" s="43">
        <f t="shared" si="1"/>
        <v>4983388.75</v>
      </c>
    </row>
    <row r="49" ht="22.5" customHeight="1">
      <c r="C49" s="45" t="s">
        <v>145</v>
      </c>
      <c r="D49" s="51" t="s">
        <v>73</v>
      </c>
      <c r="E49" s="44" t="s">
        <v>146</v>
      </c>
      <c r="F49" s="46">
        <v>4126266.0</v>
      </c>
      <c r="G49" s="42">
        <v>1.25</v>
      </c>
      <c r="H49" s="43">
        <f t="shared" si="1"/>
        <v>5157832.5</v>
      </c>
    </row>
    <row r="50" ht="22.5" customHeight="1">
      <c r="C50" s="64" t="s">
        <v>147</v>
      </c>
      <c r="D50" s="65" t="s">
        <v>148</v>
      </c>
      <c r="E50" s="66" t="s">
        <v>149</v>
      </c>
      <c r="F50" s="67">
        <v>584397.0</v>
      </c>
      <c r="G50" s="42">
        <v>1.25</v>
      </c>
      <c r="H50" s="43">
        <f t="shared" si="1"/>
        <v>730496.25</v>
      </c>
    </row>
    <row r="51" ht="22.5" customHeight="1">
      <c r="C51" s="68" t="s">
        <v>14</v>
      </c>
      <c r="D51" s="65" t="s">
        <v>148</v>
      </c>
      <c r="E51" s="66" t="s">
        <v>149</v>
      </c>
      <c r="F51" s="69">
        <v>526000.0</v>
      </c>
      <c r="G51" s="42">
        <v>1.25</v>
      </c>
      <c r="H51" s="43">
        <f t="shared" si="1"/>
        <v>657500</v>
      </c>
    </row>
    <row r="52" ht="22.5" customHeight="1">
      <c r="C52" s="70" t="s">
        <v>150</v>
      </c>
      <c r="D52" s="65" t="s">
        <v>148</v>
      </c>
      <c r="E52" s="66" t="s">
        <v>149</v>
      </c>
      <c r="F52" s="71">
        <v>822671.0</v>
      </c>
      <c r="G52" s="42">
        <v>1.25</v>
      </c>
      <c r="H52" s="43">
        <f t="shared" si="1"/>
        <v>1028338.75</v>
      </c>
    </row>
    <row r="53" ht="22.5" customHeight="1">
      <c r="C53" s="64" t="s">
        <v>151</v>
      </c>
      <c r="D53" s="65" t="s">
        <v>148</v>
      </c>
      <c r="E53" s="72" t="s">
        <v>152</v>
      </c>
      <c r="F53" s="67">
        <v>1197762.0</v>
      </c>
      <c r="G53" s="42">
        <v>1.25</v>
      </c>
      <c r="H53" s="43">
        <f t="shared" si="1"/>
        <v>1497202.5</v>
      </c>
    </row>
    <row r="54" ht="22.5" customHeight="1">
      <c r="C54" s="68" t="s">
        <v>153</v>
      </c>
      <c r="D54" s="65" t="s">
        <v>148</v>
      </c>
      <c r="E54" s="73" t="s">
        <v>154</v>
      </c>
      <c r="F54" s="69">
        <v>1300467.0</v>
      </c>
      <c r="G54" s="42">
        <v>1.25</v>
      </c>
      <c r="H54" s="43">
        <f t="shared" si="1"/>
        <v>1625583.75</v>
      </c>
    </row>
    <row r="55" ht="22.5" customHeight="1">
      <c r="C55" s="68" t="s">
        <v>155</v>
      </c>
      <c r="D55" s="65" t="s">
        <v>148</v>
      </c>
      <c r="E55" s="73" t="s">
        <v>156</v>
      </c>
      <c r="F55" s="69">
        <v>1528677.0</v>
      </c>
      <c r="G55" s="42">
        <v>1.25</v>
      </c>
      <c r="H55" s="43">
        <f t="shared" si="1"/>
        <v>1910846.25</v>
      </c>
    </row>
    <row r="56" ht="22.5" customHeight="1">
      <c r="C56" s="68" t="s">
        <v>157</v>
      </c>
      <c r="D56" s="65" t="s">
        <v>148</v>
      </c>
      <c r="E56" s="73" t="s">
        <v>158</v>
      </c>
      <c r="F56" s="69">
        <v>1945147.0</v>
      </c>
      <c r="G56" s="42">
        <v>1.25</v>
      </c>
      <c r="H56" s="43">
        <f t="shared" si="1"/>
        <v>2431433.75</v>
      </c>
    </row>
    <row r="57" ht="22.5" customHeight="1">
      <c r="C57" s="68" t="s">
        <v>159</v>
      </c>
      <c r="D57" s="65" t="s">
        <v>148</v>
      </c>
      <c r="E57" s="73" t="s">
        <v>160</v>
      </c>
      <c r="F57" s="69">
        <v>2917871.0</v>
      </c>
      <c r="G57" s="42">
        <v>1.25</v>
      </c>
      <c r="H57" s="43">
        <f t="shared" si="1"/>
        <v>3647338.75</v>
      </c>
    </row>
    <row r="58" ht="22.5" customHeight="1">
      <c r="C58" s="68" t="s">
        <v>161</v>
      </c>
      <c r="D58" s="65" t="s">
        <v>148</v>
      </c>
      <c r="E58" s="70" t="s">
        <v>162</v>
      </c>
      <c r="F58" s="69">
        <v>2910333.0</v>
      </c>
      <c r="G58" s="42">
        <v>1.25</v>
      </c>
      <c r="H58" s="43">
        <f t="shared" si="1"/>
        <v>3637916.25</v>
      </c>
    </row>
    <row r="59" ht="22.5" customHeight="1">
      <c r="C59" s="68" t="s">
        <v>20</v>
      </c>
      <c r="D59" s="65" t="s">
        <v>148</v>
      </c>
      <c r="E59" s="70" t="s">
        <v>163</v>
      </c>
      <c r="F59" s="69">
        <v>1656177.0</v>
      </c>
      <c r="G59" s="42">
        <v>1.25</v>
      </c>
      <c r="H59" s="43">
        <f t="shared" si="1"/>
        <v>2070221.25</v>
      </c>
      <c r="L59" s="74"/>
    </row>
    <row r="60" ht="22.5" customHeight="1">
      <c r="C60" s="68" t="s">
        <v>23</v>
      </c>
      <c r="D60" s="65" t="s">
        <v>148</v>
      </c>
      <c r="E60" s="70" t="s">
        <v>164</v>
      </c>
      <c r="F60" s="69">
        <v>625000.0</v>
      </c>
      <c r="G60" s="42">
        <v>1.25</v>
      </c>
      <c r="H60" s="43">
        <f t="shared" si="1"/>
        <v>781250</v>
      </c>
      <c r="L60" s="74"/>
    </row>
    <row r="61" ht="22.5" customHeight="1">
      <c r="C61" s="68" t="s">
        <v>25</v>
      </c>
      <c r="D61" s="65" t="s">
        <v>148</v>
      </c>
      <c r="E61" s="70" t="s">
        <v>165</v>
      </c>
      <c r="F61" s="69">
        <v>476874.0</v>
      </c>
      <c r="G61" s="42">
        <v>1.25</v>
      </c>
      <c r="H61" s="43">
        <f t="shared" si="1"/>
        <v>596092.5</v>
      </c>
      <c r="L61" s="74"/>
    </row>
    <row r="62" ht="22.5" customHeight="1">
      <c r="C62" s="68" t="s">
        <v>27</v>
      </c>
      <c r="D62" s="65" t="s">
        <v>148</v>
      </c>
      <c r="E62" s="70" t="s">
        <v>166</v>
      </c>
      <c r="F62" s="69">
        <v>63044.0</v>
      </c>
      <c r="G62" s="42">
        <v>1.25</v>
      </c>
      <c r="H62" s="43">
        <f t="shared" si="1"/>
        <v>78805</v>
      </c>
      <c r="L62" s="74"/>
    </row>
    <row r="63" ht="22.5" customHeight="1">
      <c r="C63" s="70" t="s">
        <v>167</v>
      </c>
      <c r="D63" s="65" t="s">
        <v>148</v>
      </c>
      <c r="E63" s="70" t="s">
        <v>168</v>
      </c>
      <c r="F63" s="71">
        <v>153941.0</v>
      </c>
      <c r="G63" s="42">
        <v>1.25</v>
      </c>
      <c r="H63" s="43">
        <f t="shared" si="1"/>
        <v>192426.25</v>
      </c>
      <c r="L63" s="74"/>
    </row>
    <row r="64" ht="22.5" customHeight="1">
      <c r="C64" s="70" t="s">
        <v>28</v>
      </c>
      <c r="D64" s="65" t="s">
        <v>148</v>
      </c>
      <c r="E64" s="70" t="s">
        <v>169</v>
      </c>
      <c r="F64" s="71">
        <v>56485.0</v>
      </c>
      <c r="G64" s="42">
        <v>1.25</v>
      </c>
      <c r="H64" s="43">
        <f t="shared" si="1"/>
        <v>70606.25</v>
      </c>
      <c r="L64" s="74"/>
    </row>
    <row r="65" ht="22.5" customHeight="1">
      <c r="C65" s="70" t="s">
        <v>170</v>
      </c>
      <c r="D65" s="60" t="s">
        <v>171</v>
      </c>
      <c r="E65" s="70" t="s">
        <v>172</v>
      </c>
      <c r="F65" s="71">
        <v>90000.0</v>
      </c>
      <c r="G65" s="42">
        <v>1.25</v>
      </c>
      <c r="H65" s="43">
        <f t="shared" si="1"/>
        <v>112500</v>
      </c>
      <c r="L65" s="74"/>
    </row>
    <row r="66" ht="22.5" customHeight="1">
      <c r="C66" s="39" t="s">
        <v>173</v>
      </c>
      <c r="D66" s="75" t="s">
        <v>73</v>
      </c>
      <c r="E66" s="39" t="s">
        <v>174</v>
      </c>
      <c r="F66" s="41">
        <v>859922.123015873</v>
      </c>
      <c r="G66" s="42">
        <v>1.25</v>
      </c>
      <c r="H66" s="43">
        <f t="shared" si="1"/>
        <v>1074902.654</v>
      </c>
      <c r="L66" s="74"/>
    </row>
    <row r="67" ht="22.5" customHeight="1">
      <c r="C67" s="72" t="s">
        <v>175</v>
      </c>
      <c r="D67" s="51" t="s">
        <v>73</v>
      </c>
      <c r="E67" s="57" t="s">
        <v>176</v>
      </c>
      <c r="F67" s="76">
        <v>640000.0</v>
      </c>
      <c r="G67" s="42">
        <v>1.25</v>
      </c>
      <c r="H67" s="43">
        <f t="shared" si="1"/>
        <v>800000</v>
      </c>
      <c r="L67" s="74"/>
    </row>
    <row r="68" ht="22.5" customHeight="1">
      <c r="C68" s="57" t="s">
        <v>177</v>
      </c>
      <c r="D68" s="51" t="s">
        <v>73</v>
      </c>
      <c r="E68" s="77" t="s">
        <v>178</v>
      </c>
      <c r="F68" s="58">
        <v>640000.0</v>
      </c>
      <c r="G68" s="42">
        <v>1.25</v>
      </c>
      <c r="H68" s="43">
        <f t="shared" si="1"/>
        <v>800000</v>
      </c>
      <c r="L68" s="74"/>
    </row>
    <row r="69" ht="22.5" customHeight="1">
      <c r="C69" s="57" t="s">
        <v>179</v>
      </c>
      <c r="D69" s="51" t="s">
        <v>73</v>
      </c>
      <c r="E69" s="57" t="s">
        <v>180</v>
      </c>
      <c r="F69" s="58">
        <v>1653600.6666666667</v>
      </c>
      <c r="G69" s="42">
        <v>1.25</v>
      </c>
      <c r="H69" s="43">
        <f t="shared" si="1"/>
        <v>2067000.833</v>
      </c>
      <c r="L69" s="74"/>
    </row>
    <row r="70" ht="22.5" customHeight="1">
      <c r="C70" s="44" t="s">
        <v>181</v>
      </c>
      <c r="D70" s="51" t="s">
        <v>73</v>
      </c>
      <c r="E70" s="44" t="s">
        <v>182</v>
      </c>
      <c r="F70" s="58">
        <v>1070000.0</v>
      </c>
      <c r="G70" s="42">
        <v>1.25</v>
      </c>
      <c r="H70" s="43">
        <f t="shared" si="1"/>
        <v>1337500</v>
      </c>
      <c r="L70" s="74"/>
    </row>
    <row r="71" ht="22.5" customHeight="1">
      <c r="C71" s="44" t="s">
        <v>183</v>
      </c>
      <c r="D71" s="51" t="s">
        <v>73</v>
      </c>
      <c r="E71" s="44" t="s">
        <v>184</v>
      </c>
      <c r="F71" s="46">
        <v>91120.48611111111</v>
      </c>
      <c r="G71" s="42">
        <v>1.25</v>
      </c>
      <c r="H71" s="43">
        <f t="shared" si="1"/>
        <v>113900.6076</v>
      </c>
      <c r="L71" s="74"/>
    </row>
    <row r="72" ht="22.5" customHeight="1">
      <c r="C72" s="44" t="s">
        <v>185</v>
      </c>
      <c r="D72" s="51" t="s">
        <v>73</v>
      </c>
      <c r="E72" s="44" t="s">
        <v>186</v>
      </c>
      <c r="F72" s="46">
        <v>42440.50925925926</v>
      </c>
      <c r="G72" s="42">
        <v>1.25</v>
      </c>
      <c r="H72" s="43">
        <f t="shared" si="1"/>
        <v>53050.63657</v>
      </c>
      <c r="L72" s="74"/>
    </row>
    <row r="73" ht="22.5" customHeight="1">
      <c r="C73" s="44" t="s">
        <v>187</v>
      </c>
      <c r="D73" s="51" t="s">
        <v>73</v>
      </c>
      <c r="E73" s="73" t="s">
        <v>188</v>
      </c>
      <c r="F73" s="46">
        <v>7600410.389610389</v>
      </c>
      <c r="G73" s="42">
        <v>1.25</v>
      </c>
      <c r="H73" s="43">
        <f t="shared" si="1"/>
        <v>9500512.987</v>
      </c>
      <c r="L73" s="74"/>
    </row>
    <row r="74" ht="22.5" customHeight="1">
      <c r="C74" s="44" t="s">
        <v>189</v>
      </c>
      <c r="D74" s="51" t="s">
        <v>73</v>
      </c>
      <c r="E74" s="44" t="s">
        <v>190</v>
      </c>
      <c r="F74" s="46">
        <v>1.37376875E7</v>
      </c>
      <c r="G74" s="42">
        <v>1.25</v>
      </c>
      <c r="H74" s="43">
        <f t="shared" si="1"/>
        <v>17172109.38</v>
      </c>
      <c r="L74" s="74"/>
    </row>
    <row r="75" ht="22.5" customHeight="1">
      <c r="C75" s="44" t="s">
        <v>191</v>
      </c>
      <c r="D75" s="51" t="s">
        <v>73</v>
      </c>
      <c r="E75" s="44" t="s">
        <v>192</v>
      </c>
      <c r="F75" s="46">
        <v>2.015541E7</v>
      </c>
      <c r="G75" s="42">
        <v>1.25</v>
      </c>
      <c r="H75" s="43">
        <f t="shared" si="1"/>
        <v>25194262.5</v>
      </c>
      <c r="L75" s="74"/>
    </row>
    <row r="76" ht="22.5" customHeight="1">
      <c r="C76" s="44" t="s">
        <v>193</v>
      </c>
      <c r="D76" s="51" t="s">
        <v>73</v>
      </c>
      <c r="E76" s="44" t="s">
        <v>194</v>
      </c>
      <c r="F76" s="46">
        <v>87780.0</v>
      </c>
      <c r="G76" s="42">
        <v>1.25</v>
      </c>
      <c r="H76" s="43">
        <f t="shared" si="1"/>
        <v>109725</v>
      </c>
      <c r="L76" s="74"/>
    </row>
    <row r="77" ht="22.5" customHeight="1">
      <c r="C77" s="78" t="s">
        <v>195</v>
      </c>
      <c r="D77" s="79" t="s">
        <v>73</v>
      </c>
      <c r="E77" s="78" t="s">
        <v>196</v>
      </c>
      <c r="F77" s="80">
        <v>125020.0</v>
      </c>
      <c r="G77" s="42">
        <v>1.25</v>
      </c>
      <c r="H77" s="43">
        <f t="shared" si="1"/>
        <v>156275</v>
      </c>
      <c r="L77" s="74"/>
    </row>
    <row r="78" ht="22.5" customHeight="1">
      <c r="C78" s="81" t="s">
        <v>197</v>
      </c>
      <c r="D78" s="75" t="s">
        <v>73</v>
      </c>
      <c r="E78" s="39" t="s">
        <v>198</v>
      </c>
      <c r="F78" s="41">
        <v>409640.0</v>
      </c>
      <c r="G78" s="42">
        <v>1.25</v>
      </c>
      <c r="H78" s="43">
        <f t="shared" si="1"/>
        <v>512050</v>
      </c>
      <c r="L78" s="74"/>
    </row>
    <row r="79" ht="22.5" customHeight="1">
      <c r="C79" s="59" t="s">
        <v>199</v>
      </c>
      <c r="D79" s="45" t="s">
        <v>73</v>
      </c>
      <c r="E79" s="44" t="s">
        <v>200</v>
      </c>
      <c r="F79" s="46">
        <v>730187.5</v>
      </c>
      <c r="G79" s="42">
        <v>1.25</v>
      </c>
      <c r="H79" s="43">
        <f t="shared" si="1"/>
        <v>912734.375</v>
      </c>
      <c r="L79" s="74"/>
    </row>
    <row r="80" ht="22.5" customHeight="1">
      <c r="C80" s="59" t="s">
        <v>201</v>
      </c>
      <c r="D80" s="45" t="s">
        <v>73</v>
      </c>
      <c r="E80" s="44" t="s">
        <v>202</v>
      </c>
      <c r="F80" s="46">
        <v>76822.04861111111</v>
      </c>
      <c r="G80" s="42">
        <v>1.25</v>
      </c>
      <c r="H80" s="43">
        <f t="shared" si="1"/>
        <v>96027.56076</v>
      </c>
      <c r="L80" s="74"/>
    </row>
    <row r="81" ht="22.5" customHeight="1">
      <c r="C81" s="59" t="s">
        <v>203</v>
      </c>
      <c r="D81" s="45" t="s">
        <v>73</v>
      </c>
      <c r="E81" s="44" t="s">
        <v>204</v>
      </c>
      <c r="F81" s="46">
        <v>140577.43055555556</v>
      </c>
      <c r="G81" s="42">
        <v>1.25</v>
      </c>
      <c r="H81" s="43">
        <f t="shared" si="1"/>
        <v>175721.7882</v>
      </c>
      <c r="L81" s="74"/>
    </row>
    <row r="82" ht="22.5" customHeight="1">
      <c r="C82" s="44" t="s">
        <v>205</v>
      </c>
      <c r="D82" s="45" t="s">
        <v>73</v>
      </c>
      <c r="E82" s="44" t="s">
        <v>206</v>
      </c>
      <c r="F82" s="46">
        <v>52705.8823529412</v>
      </c>
      <c r="G82" s="42">
        <v>1.25</v>
      </c>
      <c r="H82" s="43">
        <f t="shared" si="1"/>
        <v>65882.35294</v>
      </c>
      <c r="L82" s="74"/>
    </row>
    <row r="83" ht="22.5" customHeight="1">
      <c r="C83" s="47" t="s">
        <v>207</v>
      </c>
      <c r="D83" s="48" t="s">
        <v>73</v>
      </c>
      <c r="E83" s="47" t="s">
        <v>208</v>
      </c>
      <c r="F83" s="49">
        <v>81200.0</v>
      </c>
      <c r="G83" s="42">
        <v>1.25</v>
      </c>
      <c r="H83" s="43">
        <f t="shared" si="1"/>
        <v>101500</v>
      </c>
      <c r="L83" s="74"/>
    </row>
    <row r="84">
      <c r="C84" s="82"/>
      <c r="D84" s="82"/>
      <c r="E84" s="82"/>
      <c r="F84" s="83"/>
      <c r="H84" s="36"/>
      <c r="L84" s="74"/>
    </row>
    <row r="85">
      <c r="C85" s="82"/>
      <c r="D85" s="82"/>
      <c r="E85" s="82"/>
      <c r="F85" s="83"/>
      <c r="H85" s="36"/>
      <c r="L85" s="74"/>
    </row>
    <row r="86">
      <c r="C86" s="82"/>
      <c r="D86" s="82"/>
      <c r="E86" s="82"/>
      <c r="F86" s="83"/>
      <c r="H86" s="36"/>
      <c r="L86" s="74"/>
    </row>
    <row r="87">
      <c r="C87" s="82"/>
      <c r="D87" s="82"/>
      <c r="E87" s="82"/>
      <c r="F87" s="83"/>
      <c r="H87" s="36"/>
      <c r="L87" s="74"/>
    </row>
    <row r="88">
      <c r="C88" s="82"/>
      <c r="D88" s="82"/>
      <c r="E88" s="82"/>
      <c r="F88" s="83"/>
      <c r="H88" s="36"/>
      <c r="L88" s="74"/>
    </row>
    <row r="89">
      <c r="C89" s="82"/>
      <c r="D89" s="82"/>
      <c r="E89" s="82"/>
      <c r="F89" s="83"/>
      <c r="H89" s="36"/>
      <c r="L89" s="74"/>
    </row>
    <row r="90">
      <c r="C90" s="82"/>
      <c r="D90" s="82"/>
      <c r="E90" s="82"/>
      <c r="F90" s="83"/>
      <c r="H90" s="36"/>
      <c r="L90" s="74"/>
    </row>
    <row r="91">
      <c r="C91" s="82"/>
      <c r="D91" s="82"/>
      <c r="E91" s="35"/>
      <c r="F91" s="83"/>
      <c r="H91" s="36"/>
      <c r="L91" s="74"/>
    </row>
    <row r="92">
      <c r="C92" s="35"/>
      <c r="D92" s="35"/>
      <c r="E92" s="82"/>
      <c r="F92" s="83"/>
      <c r="H92" s="36"/>
      <c r="L92" s="74"/>
    </row>
    <row r="93">
      <c r="C93" s="84"/>
      <c r="D93" s="85"/>
      <c r="E93" s="85"/>
      <c r="F93" s="86"/>
      <c r="H93" s="36"/>
      <c r="L93" s="74"/>
    </row>
    <row r="94">
      <c r="H94" s="36"/>
      <c r="L94" s="74"/>
    </row>
    <row r="95">
      <c r="H95" s="36"/>
      <c r="L95" s="74"/>
    </row>
    <row r="96">
      <c r="H96" s="36"/>
      <c r="L96" s="74"/>
    </row>
    <row r="97">
      <c r="H97" s="36"/>
      <c r="L97" s="74"/>
    </row>
    <row r="98">
      <c r="H98" s="36"/>
      <c r="L98" s="74"/>
    </row>
    <row r="99">
      <c r="H99" s="36"/>
      <c r="L99" s="74"/>
    </row>
    <row r="100">
      <c r="H100" s="36"/>
      <c r="L100" s="74"/>
    </row>
    <row r="101">
      <c r="H101" s="36"/>
      <c r="L101" s="74"/>
    </row>
    <row r="102">
      <c r="H102" s="36"/>
      <c r="L102" s="74"/>
    </row>
    <row r="103">
      <c r="H103" s="36"/>
      <c r="L103" s="74"/>
    </row>
    <row r="104">
      <c r="H104" s="36"/>
      <c r="L104" s="74"/>
    </row>
    <row r="105">
      <c r="H105" s="36"/>
      <c r="L105" s="74"/>
    </row>
    <row r="106">
      <c r="H106" s="36"/>
      <c r="L106" s="74"/>
    </row>
    <row r="107">
      <c r="H107" s="36"/>
      <c r="L107" s="74"/>
    </row>
    <row r="108">
      <c r="H108" s="36"/>
      <c r="L108" s="74"/>
    </row>
    <row r="109">
      <c r="H109" s="36"/>
      <c r="L109" s="74"/>
    </row>
    <row r="110">
      <c r="H110" s="36"/>
      <c r="L110" s="74"/>
    </row>
    <row r="111">
      <c r="H111" s="36"/>
      <c r="L111" s="74"/>
    </row>
    <row r="112">
      <c r="H112" s="36"/>
      <c r="L112" s="74"/>
    </row>
    <row r="113">
      <c r="H113" s="36"/>
      <c r="L113" s="74"/>
    </row>
    <row r="114">
      <c r="H114" s="36"/>
      <c r="L114" s="74"/>
    </row>
    <row r="115">
      <c r="H115" s="36"/>
      <c r="L115" s="74"/>
    </row>
    <row r="116">
      <c r="H116" s="36"/>
      <c r="L116" s="74"/>
    </row>
    <row r="117">
      <c r="H117" s="36"/>
      <c r="L117" s="74"/>
    </row>
    <row r="118">
      <c r="H118" s="36"/>
      <c r="L118" s="74"/>
    </row>
    <row r="119">
      <c r="H119" s="36"/>
      <c r="L119" s="74"/>
    </row>
    <row r="120">
      <c r="H120" s="36"/>
      <c r="L120" s="74"/>
    </row>
    <row r="121">
      <c r="H121" s="36"/>
      <c r="L121" s="74"/>
    </row>
    <row r="122">
      <c r="H122" s="36"/>
      <c r="L122" s="74"/>
    </row>
    <row r="123">
      <c r="H123" s="36"/>
    </row>
    <row r="124">
      <c r="H124" s="36"/>
    </row>
    <row r="125">
      <c r="H125" s="36"/>
    </row>
    <row r="126">
      <c r="H126" s="36"/>
    </row>
    <row r="127">
      <c r="H127" s="36"/>
    </row>
    <row r="128">
      <c r="H128" s="36"/>
    </row>
    <row r="129">
      <c r="H129" s="36"/>
    </row>
    <row r="130">
      <c r="H130" s="36"/>
    </row>
    <row r="131">
      <c r="H131" s="36"/>
    </row>
    <row r="132">
      <c r="H132" s="36"/>
    </row>
    <row r="133">
      <c r="H133" s="36"/>
    </row>
    <row r="134">
      <c r="H134" s="36"/>
    </row>
    <row r="135">
      <c r="H135" s="36"/>
    </row>
    <row r="136">
      <c r="H136" s="36"/>
    </row>
    <row r="137">
      <c r="H137" s="36"/>
    </row>
    <row r="138">
      <c r="H138" s="36"/>
    </row>
    <row r="139">
      <c r="H139" s="36"/>
    </row>
    <row r="140">
      <c r="H140" s="36"/>
    </row>
    <row r="141">
      <c r="H141" s="36"/>
    </row>
    <row r="142">
      <c r="H142" s="36"/>
    </row>
    <row r="143">
      <c r="H143" s="36"/>
    </row>
    <row r="144">
      <c r="H144" s="36"/>
    </row>
    <row r="145">
      <c r="H145" s="36"/>
    </row>
    <row r="146">
      <c r="H146" s="36"/>
    </row>
    <row r="147">
      <c r="H147" s="36"/>
    </row>
    <row r="148">
      <c r="H148" s="36"/>
    </row>
    <row r="149">
      <c r="H149" s="36"/>
    </row>
    <row r="150">
      <c r="H150" s="36"/>
    </row>
    <row r="151">
      <c r="H151" s="36"/>
    </row>
    <row r="152">
      <c r="H152" s="36"/>
    </row>
    <row r="153">
      <c r="H153" s="36"/>
    </row>
    <row r="154">
      <c r="H154" s="36"/>
    </row>
    <row r="155">
      <c r="H155" s="36"/>
    </row>
    <row r="156">
      <c r="H156" s="36"/>
    </row>
    <row r="157">
      <c r="H157" s="36"/>
    </row>
    <row r="158">
      <c r="H158" s="36"/>
    </row>
    <row r="159">
      <c r="H159" s="36"/>
    </row>
    <row r="160">
      <c r="H160" s="36"/>
    </row>
    <row r="161">
      <c r="H161" s="36"/>
    </row>
    <row r="162">
      <c r="H162" s="36"/>
    </row>
    <row r="163">
      <c r="H163" s="36"/>
    </row>
    <row r="164">
      <c r="H164" s="36"/>
    </row>
    <row r="165">
      <c r="H165" s="36"/>
    </row>
    <row r="166">
      <c r="H166" s="36"/>
    </row>
    <row r="167">
      <c r="H167" s="36"/>
    </row>
    <row r="168">
      <c r="H168" s="36"/>
    </row>
    <row r="169">
      <c r="H169" s="36"/>
    </row>
    <row r="170">
      <c r="H170" s="36"/>
    </row>
    <row r="171">
      <c r="H171" s="36"/>
    </row>
    <row r="172">
      <c r="H172" s="36"/>
    </row>
    <row r="173">
      <c r="H173" s="36"/>
    </row>
    <row r="174">
      <c r="H174" s="36"/>
    </row>
    <row r="175">
      <c r="H175" s="36"/>
    </row>
    <row r="176">
      <c r="H176" s="36"/>
    </row>
    <row r="177">
      <c r="H177" s="36"/>
    </row>
    <row r="178">
      <c r="H178" s="36"/>
    </row>
    <row r="179">
      <c r="H179" s="36"/>
    </row>
    <row r="180">
      <c r="H180" s="36"/>
    </row>
    <row r="181">
      <c r="H181" s="36"/>
    </row>
    <row r="182">
      <c r="H182" s="36"/>
    </row>
    <row r="183">
      <c r="H183" s="36"/>
    </row>
    <row r="184">
      <c r="H184" s="36"/>
    </row>
    <row r="185">
      <c r="H185" s="36"/>
    </row>
    <row r="186">
      <c r="H186" s="36"/>
    </row>
    <row r="187">
      <c r="H187" s="36"/>
    </row>
    <row r="188">
      <c r="H188" s="36"/>
    </row>
    <row r="189">
      <c r="H189" s="36"/>
    </row>
    <row r="190">
      <c r="H190" s="36"/>
    </row>
    <row r="191">
      <c r="H191" s="36"/>
    </row>
    <row r="192">
      <c r="H192" s="36"/>
    </row>
    <row r="193">
      <c r="H193" s="36"/>
    </row>
    <row r="194">
      <c r="H194" s="36"/>
    </row>
    <row r="195">
      <c r="H195" s="36"/>
    </row>
    <row r="196">
      <c r="H196" s="36"/>
    </row>
    <row r="197">
      <c r="H197" s="36"/>
    </row>
    <row r="198">
      <c r="H198" s="36"/>
    </row>
    <row r="199">
      <c r="H199" s="36"/>
    </row>
    <row r="200">
      <c r="H200" s="36"/>
    </row>
    <row r="201">
      <c r="H201" s="36"/>
    </row>
    <row r="202">
      <c r="H202" s="36"/>
    </row>
    <row r="203">
      <c r="H203" s="36"/>
    </row>
    <row r="204">
      <c r="H204" s="36"/>
    </row>
    <row r="205">
      <c r="H205" s="36"/>
    </row>
    <row r="206">
      <c r="H206" s="36"/>
    </row>
    <row r="207">
      <c r="H207" s="36"/>
    </row>
    <row r="208">
      <c r="H208" s="36"/>
    </row>
    <row r="209">
      <c r="H209" s="36"/>
    </row>
    <row r="210">
      <c r="H210" s="36"/>
    </row>
    <row r="211">
      <c r="H211" s="36"/>
    </row>
    <row r="212">
      <c r="H212" s="36"/>
    </row>
    <row r="213">
      <c r="H213" s="36"/>
    </row>
    <row r="214">
      <c r="H214" s="36"/>
    </row>
    <row r="215">
      <c r="H215" s="36"/>
    </row>
    <row r="216">
      <c r="H216" s="36"/>
    </row>
    <row r="217">
      <c r="H217" s="36"/>
    </row>
    <row r="218">
      <c r="H218" s="36"/>
    </row>
    <row r="219">
      <c r="H219" s="36"/>
    </row>
    <row r="220">
      <c r="H220" s="36"/>
    </row>
    <row r="221">
      <c r="H221" s="36"/>
    </row>
    <row r="222">
      <c r="H222" s="36"/>
    </row>
    <row r="223">
      <c r="H223" s="36"/>
    </row>
    <row r="224">
      <c r="H224" s="36"/>
    </row>
    <row r="225">
      <c r="H225" s="36"/>
    </row>
    <row r="226">
      <c r="H226" s="36"/>
    </row>
    <row r="227">
      <c r="H227" s="36"/>
    </row>
    <row r="228">
      <c r="H228" s="36"/>
    </row>
    <row r="229">
      <c r="H229" s="36"/>
    </row>
    <row r="230">
      <c r="H230" s="36"/>
    </row>
    <row r="231">
      <c r="H231" s="36"/>
    </row>
    <row r="232">
      <c r="H232" s="36"/>
    </row>
    <row r="233">
      <c r="H233" s="36"/>
    </row>
    <row r="234">
      <c r="H234" s="36"/>
    </row>
    <row r="235">
      <c r="H235" s="36"/>
    </row>
    <row r="236">
      <c r="H236" s="36"/>
    </row>
    <row r="237">
      <c r="H237" s="36"/>
    </row>
    <row r="238">
      <c r="H238" s="36"/>
    </row>
    <row r="239">
      <c r="H239" s="36"/>
    </row>
    <row r="240">
      <c r="H240" s="36"/>
    </row>
    <row r="241">
      <c r="H241" s="36"/>
    </row>
    <row r="242">
      <c r="H242" s="36"/>
    </row>
    <row r="243">
      <c r="H243" s="36"/>
    </row>
    <row r="244">
      <c r="H244" s="36"/>
    </row>
    <row r="245">
      <c r="H245" s="36"/>
    </row>
    <row r="246">
      <c r="H246" s="36"/>
    </row>
    <row r="247">
      <c r="H247" s="36"/>
    </row>
    <row r="248">
      <c r="H248" s="36"/>
    </row>
    <row r="249">
      <c r="H249" s="36"/>
    </row>
    <row r="250">
      <c r="H250" s="36"/>
    </row>
    <row r="251">
      <c r="H251" s="36"/>
    </row>
    <row r="252">
      <c r="H252" s="36"/>
    </row>
    <row r="253">
      <c r="H253" s="36"/>
    </row>
    <row r="254">
      <c r="H254" s="36"/>
    </row>
    <row r="255">
      <c r="H255" s="36"/>
    </row>
    <row r="256">
      <c r="H256" s="36"/>
    </row>
    <row r="257">
      <c r="H257" s="36"/>
    </row>
    <row r="258">
      <c r="H258" s="36"/>
    </row>
    <row r="259">
      <c r="H259" s="36"/>
    </row>
    <row r="260">
      <c r="H260" s="36"/>
    </row>
    <row r="261">
      <c r="H261" s="36"/>
    </row>
    <row r="262">
      <c r="H262" s="36"/>
    </row>
    <row r="263">
      <c r="H263" s="36"/>
    </row>
    <row r="264">
      <c r="H264" s="36"/>
    </row>
    <row r="265">
      <c r="H265" s="36"/>
    </row>
    <row r="266">
      <c r="H266" s="36"/>
    </row>
    <row r="267">
      <c r="H267" s="36"/>
    </row>
    <row r="268">
      <c r="H268" s="36"/>
    </row>
    <row r="269">
      <c r="H269" s="36"/>
    </row>
    <row r="270">
      <c r="H270" s="36"/>
    </row>
    <row r="271">
      <c r="H271" s="36"/>
    </row>
    <row r="272">
      <c r="H272" s="36"/>
    </row>
    <row r="273">
      <c r="H273" s="36"/>
    </row>
    <row r="274">
      <c r="H274" s="36"/>
    </row>
    <row r="275">
      <c r="H275" s="36"/>
    </row>
    <row r="276">
      <c r="H276" s="36"/>
    </row>
    <row r="277">
      <c r="H277" s="36"/>
    </row>
    <row r="278">
      <c r="H278" s="36"/>
    </row>
    <row r="279">
      <c r="H279" s="36"/>
    </row>
    <row r="280">
      <c r="H280" s="36"/>
    </row>
    <row r="281">
      <c r="H281" s="36"/>
    </row>
    <row r="282">
      <c r="H282" s="36"/>
    </row>
    <row r="283">
      <c r="H283" s="36"/>
    </row>
    <row r="284">
      <c r="H284" s="36"/>
    </row>
    <row r="285">
      <c r="H285" s="36"/>
    </row>
    <row r="286">
      <c r="H286" s="36"/>
    </row>
    <row r="287">
      <c r="H287" s="36"/>
    </row>
    <row r="288">
      <c r="H288" s="36"/>
    </row>
    <row r="289">
      <c r="H289" s="36"/>
    </row>
    <row r="290">
      <c r="H290" s="36"/>
    </row>
    <row r="291">
      <c r="H291" s="36"/>
    </row>
    <row r="292">
      <c r="H292" s="36"/>
    </row>
    <row r="293">
      <c r="H293" s="36"/>
    </row>
    <row r="294">
      <c r="H294" s="36"/>
    </row>
    <row r="295">
      <c r="H295" s="36"/>
    </row>
    <row r="296">
      <c r="H296" s="36"/>
    </row>
    <row r="297">
      <c r="H297" s="36"/>
    </row>
    <row r="298">
      <c r="H298" s="36"/>
    </row>
    <row r="299">
      <c r="H299" s="36"/>
    </row>
    <row r="300">
      <c r="H300" s="36"/>
    </row>
    <row r="301">
      <c r="H301" s="36"/>
    </row>
    <row r="302">
      <c r="H302" s="36"/>
    </row>
    <row r="303">
      <c r="H303" s="36"/>
    </row>
    <row r="304">
      <c r="H304" s="36"/>
    </row>
    <row r="305">
      <c r="H305" s="36"/>
    </row>
    <row r="306">
      <c r="H306" s="36"/>
    </row>
    <row r="307">
      <c r="H307" s="36"/>
    </row>
    <row r="308">
      <c r="H308" s="36"/>
    </row>
    <row r="309">
      <c r="H309" s="36"/>
    </row>
    <row r="310">
      <c r="H310" s="36"/>
    </row>
    <row r="311">
      <c r="H311" s="36"/>
    </row>
    <row r="312">
      <c r="H312" s="36"/>
    </row>
    <row r="313">
      <c r="H313" s="36"/>
    </row>
    <row r="314">
      <c r="H314" s="36"/>
    </row>
    <row r="315">
      <c r="H315" s="36"/>
    </row>
    <row r="316">
      <c r="H316" s="36"/>
    </row>
    <row r="317">
      <c r="H317" s="36"/>
    </row>
    <row r="318">
      <c r="H318" s="36"/>
    </row>
    <row r="319">
      <c r="H319" s="36"/>
    </row>
    <row r="320">
      <c r="H320" s="36"/>
    </row>
    <row r="321">
      <c r="H321" s="36"/>
    </row>
    <row r="322">
      <c r="H322" s="36"/>
    </row>
    <row r="323">
      <c r="H323" s="36"/>
    </row>
    <row r="324">
      <c r="H324" s="36"/>
    </row>
    <row r="325">
      <c r="H325" s="36"/>
    </row>
    <row r="326">
      <c r="H326" s="36"/>
    </row>
    <row r="327">
      <c r="H327" s="36"/>
    </row>
    <row r="328">
      <c r="H328" s="36"/>
    </row>
    <row r="329">
      <c r="H329" s="36"/>
    </row>
    <row r="330">
      <c r="H330" s="36"/>
    </row>
    <row r="331">
      <c r="H331" s="36"/>
    </row>
    <row r="332">
      <c r="H332" s="36"/>
    </row>
    <row r="333">
      <c r="H333" s="36"/>
    </row>
    <row r="334">
      <c r="H334" s="36"/>
    </row>
    <row r="335">
      <c r="H335" s="36"/>
    </row>
    <row r="336">
      <c r="H336" s="36"/>
    </row>
    <row r="337">
      <c r="H337" s="36"/>
    </row>
    <row r="338">
      <c r="H338" s="36"/>
    </row>
    <row r="339">
      <c r="H339" s="36"/>
    </row>
    <row r="340">
      <c r="H340" s="36"/>
    </row>
    <row r="341">
      <c r="H341" s="36"/>
    </row>
    <row r="342">
      <c r="H342" s="36"/>
    </row>
    <row r="343">
      <c r="H343" s="36"/>
    </row>
    <row r="344">
      <c r="H344" s="36"/>
    </row>
    <row r="345">
      <c r="H345" s="36"/>
    </row>
    <row r="346">
      <c r="H346" s="36"/>
    </row>
    <row r="347">
      <c r="H347" s="36"/>
    </row>
    <row r="348">
      <c r="H348" s="36"/>
    </row>
    <row r="349">
      <c r="H349" s="36"/>
    </row>
    <row r="350">
      <c r="H350" s="36"/>
    </row>
    <row r="351">
      <c r="H351" s="36"/>
    </row>
    <row r="352">
      <c r="H352" s="36"/>
    </row>
    <row r="353">
      <c r="H353" s="36"/>
    </row>
    <row r="354">
      <c r="H354" s="36"/>
    </row>
    <row r="355">
      <c r="H355" s="36"/>
    </row>
    <row r="356">
      <c r="H356" s="36"/>
    </row>
    <row r="357">
      <c r="H357" s="36"/>
    </row>
    <row r="358">
      <c r="H358" s="36"/>
    </row>
    <row r="359">
      <c r="H359" s="36"/>
    </row>
    <row r="360">
      <c r="H360" s="36"/>
    </row>
    <row r="361">
      <c r="H361" s="36"/>
    </row>
    <row r="362">
      <c r="H362" s="36"/>
    </row>
    <row r="363">
      <c r="H363" s="36"/>
    </row>
    <row r="364">
      <c r="H364" s="36"/>
    </row>
    <row r="365">
      <c r="H365" s="36"/>
    </row>
    <row r="366">
      <c r="H366" s="36"/>
    </row>
    <row r="367">
      <c r="H367" s="36"/>
    </row>
    <row r="368">
      <c r="H368" s="36"/>
    </row>
    <row r="369">
      <c r="H369" s="36"/>
    </row>
    <row r="370">
      <c r="H370" s="36"/>
    </row>
    <row r="371">
      <c r="H371" s="36"/>
    </row>
    <row r="372">
      <c r="H372" s="36"/>
    </row>
    <row r="373">
      <c r="H373" s="36"/>
    </row>
    <row r="374">
      <c r="H374" s="36"/>
    </row>
    <row r="375">
      <c r="H375" s="36"/>
    </row>
    <row r="376">
      <c r="H376" s="36"/>
    </row>
    <row r="377">
      <c r="H377" s="36"/>
    </row>
    <row r="378">
      <c r="H378" s="36"/>
    </row>
    <row r="379">
      <c r="H379" s="36"/>
    </row>
    <row r="380">
      <c r="H380" s="36"/>
    </row>
    <row r="381">
      <c r="H381" s="36"/>
    </row>
    <row r="382">
      <c r="H382" s="36"/>
    </row>
    <row r="383">
      <c r="H383" s="36"/>
    </row>
    <row r="384">
      <c r="H384" s="36"/>
    </row>
    <row r="385">
      <c r="H385" s="36"/>
    </row>
    <row r="386">
      <c r="H386" s="36"/>
    </row>
    <row r="387">
      <c r="H387" s="36"/>
    </row>
    <row r="388">
      <c r="H388" s="36"/>
    </row>
    <row r="389">
      <c r="H389" s="36"/>
    </row>
    <row r="390">
      <c r="H390" s="36"/>
    </row>
    <row r="391">
      <c r="H391" s="36"/>
    </row>
    <row r="392">
      <c r="H392" s="36"/>
    </row>
    <row r="393">
      <c r="H393" s="36"/>
    </row>
    <row r="394">
      <c r="H394" s="36"/>
    </row>
    <row r="395">
      <c r="H395" s="36"/>
    </row>
    <row r="396">
      <c r="H396" s="36"/>
    </row>
    <row r="397">
      <c r="H397" s="36"/>
    </row>
    <row r="398">
      <c r="H398" s="36"/>
    </row>
    <row r="399">
      <c r="H399" s="36"/>
    </row>
    <row r="400">
      <c r="H400" s="36"/>
    </row>
    <row r="401">
      <c r="H401" s="36"/>
    </row>
    <row r="402">
      <c r="H402" s="36"/>
    </row>
    <row r="403">
      <c r="H403" s="36"/>
    </row>
    <row r="404">
      <c r="H404" s="36"/>
    </row>
    <row r="405">
      <c r="H405" s="36"/>
    </row>
    <row r="406">
      <c r="H406" s="36"/>
    </row>
    <row r="407">
      <c r="H407" s="36"/>
    </row>
    <row r="408">
      <c r="H408" s="36"/>
    </row>
    <row r="409">
      <c r="H409" s="36"/>
    </row>
    <row r="410">
      <c r="H410" s="36"/>
    </row>
    <row r="411">
      <c r="H411" s="36"/>
    </row>
    <row r="412">
      <c r="H412" s="36"/>
    </row>
    <row r="413">
      <c r="H413" s="36"/>
    </row>
    <row r="414">
      <c r="H414" s="36"/>
    </row>
    <row r="415">
      <c r="H415" s="36"/>
    </row>
    <row r="416">
      <c r="H416" s="36"/>
    </row>
    <row r="417">
      <c r="H417" s="36"/>
    </row>
    <row r="418">
      <c r="H418" s="36"/>
    </row>
    <row r="419">
      <c r="H419" s="36"/>
    </row>
    <row r="420">
      <c r="H420" s="36"/>
    </row>
    <row r="421">
      <c r="H421" s="36"/>
    </row>
    <row r="422">
      <c r="H422" s="36"/>
    </row>
    <row r="423">
      <c r="H423" s="36"/>
    </row>
    <row r="424">
      <c r="H424" s="36"/>
    </row>
    <row r="425">
      <c r="H425" s="36"/>
    </row>
    <row r="426">
      <c r="H426" s="36"/>
    </row>
    <row r="427">
      <c r="H427" s="36"/>
    </row>
    <row r="428">
      <c r="H428" s="36"/>
    </row>
    <row r="429">
      <c r="H429" s="36"/>
    </row>
    <row r="430">
      <c r="H430" s="36"/>
    </row>
    <row r="431">
      <c r="H431" s="36"/>
    </row>
    <row r="432">
      <c r="H432" s="36"/>
    </row>
    <row r="433">
      <c r="H433" s="36"/>
    </row>
    <row r="434">
      <c r="H434" s="36"/>
    </row>
    <row r="435">
      <c r="H435" s="36"/>
    </row>
    <row r="436">
      <c r="H436" s="36"/>
    </row>
    <row r="437">
      <c r="H437" s="36"/>
    </row>
    <row r="438">
      <c r="H438" s="36"/>
    </row>
    <row r="439">
      <c r="H439" s="36"/>
    </row>
    <row r="440">
      <c r="H440" s="36"/>
    </row>
    <row r="441">
      <c r="H441" s="36"/>
    </row>
    <row r="442">
      <c r="H442" s="36"/>
    </row>
    <row r="443">
      <c r="H443" s="36"/>
    </row>
    <row r="444">
      <c r="H444" s="36"/>
    </row>
    <row r="445">
      <c r="H445" s="36"/>
    </row>
    <row r="446">
      <c r="H446" s="36"/>
    </row>
    <row r="447">
      <c r="H447" s="36"/>
    </row>
    <row r="448">
      <c r="H448" s="36"/>
    </row>
    <row r="449">
      <c r="H449" s="36"/>
    </row>
    <row r="450">
      <c r="H450" s="36"/>
    </row>
    <row r="451">
      <c r="H451" s="36"/>
    </row>
    <row r="452">
      <c r="H452" s="36"/>
    </row>
    <row r="453">
      <c r="H453" s="36"/>
    </row>
    <row r="454">
      <c r="H454" s="36"/>
    </row>
    <row r="455">
      <c r="H455" s="36"/>
    </row>
    <row r="456">
      <c r="H456" s="36"/>
    </row>
    <row r="457">
      <c r="H457" s="36"/>
    </row>
    <row r="458">
      <c r="H458" s="36"/>
    </row>
    <row r="459">
      <c r="H459" s="36"/>
    </row>
    <row r="460">
      <c r="H460" s="36"/>
    </row>
    <row r="461">
      <c r="H461" s="36"/>
    </row>
    <row r="462">
      <c r="H462" s="36"/>
    </row>
    <row r="463">
      <c r="H463" s="36"/>
    </row>
    <row r="464">
      <c r="H464" s="36"/>
    </row>
    <row r="465">
      <c r="H465" s="36"/>
    </row>
    <row r="466">
      <c r="H466" s="36"/>
    </row>
    <row r="467">
      <c r="H467" s="36"/>
    </row>
    <row r="468">
      <c r="H468" s="36"/>
    </row>
    <row r="469">
      <c r="H469" s="36"/>
    </row>
    <row r="470">
      <c r="H470" s="36"/>
    </row>
    <row r="471">
      <c r="H471" s="36"/>
    </row>
    <row r="472">
      <c r="H472" s="36"/>
    </row>
    <row r="473">
      <c r="H473" s="36"/>
    </row>
    <row r="474">
      <c r="H474" s="36"/>
    </row>
    <row r="475">
      <c r="H475" s="36"/>
    </row>
    <row r="476">
      <c r="H476" s="36"/>
    </row>
    <row r="477">
      <c r="H477" s="36"/>
    </row>
    <row r="478">
      <c r="H478" s="36"/>
    </row>
    <row r="479">
      <c r="H479" s="36"/>
    </row>
    <row r="480">
      <c r="H480" s="36"/>
    </row>
    <row r="481">
      <c r="H481" s="36"/>
    </row>
    <row r="482">
      <c r="H482" s="36"/>
    </row>
    <row r="483">
      <c r="H483" s="36"/>
    </row>
    <row r="484">
      <c r="H484" s="36"/>
    </row>
    <row r="485">
      <c r="H485" s="36"/>
    </row>
    <row r="486">
      <c r="H486" s="36"/>
    </row>
    <row r="487">
      <c r="H487" s="36"/>
    </row>
    <row r="488">
      <c r="H488" s="36"/>
    </row>
    <row r="489">
      <c r="H489" s="36"/>
    </row>
    <row r="490">
      <c r="H490" s="36"/>
    </row>
    <row r="491">
      <c r="H491" s="36"/>
    </row>
    <row r="492">
      <c r="H492" s="36"/>
    </row>
    <row r="493">
      <c r="H493" s="36"/>
    </row>
    <row r="494">
      <c r="H494" s="36"/>
    </row>
    <row r="495">
      <c r="H495" s="36"/>
    </row>
    <row r="496">
      <c r="H496" s="36"/>
    </row>
    <row r="497">
      <c r="H497" s="36"/>
    </row>
    <row r="498">
      <c r="H498" s="36"/>
    </row>
    <row r="499">
      <c r="H499" s="36"/>
    </row>
    <row r="500">
      <c r="H500" s="36"/>
    </row>
    <row r="501">
      <c r="H501" s="36"/>
    </row>
    <row r="502">
      <c r="H502" s="36"/>
    </row>
    <row r="503">
      <c r="H503" s="36"/>
    </row>
    <row r="504">
      <c r="H504" s="36"/>
    </row>
    <row r="505">
      <c r="H505" s="36"/>
    </row>
    <row r="506">
      <c r="H506" s="36"/>
    </row>
    <row r="507">
      <c r="H507" s="36"/>
    </row>
    <row r="508">
      <c r="H508" s="36"/>
    </row>
    <row r="509">
      <c r="H509" s="36"/>
    </row>
    <row r="510">
      <c r="H510" s="36"/>
    </row>
    <row r="511">
      <c r="H511" s="36"/>
    </row>
    <row r="512">
      <c r="H512" s="36"/>
    </row>
    <row r="513">
      <c r="H513" s="36"/>
    </row>
    <row r="514">
      <c r="H514" s="36"/>
    </row>
    <row r="515">
      <c r="H515" s="36"/>
    </row>
    <row r="516">
      <c r="H516" s="36"/>
    </row>
    <row r="517">
      <c r="H517" s="36"/>
    </row>
    <row r="518">
      <c r="H518" s="36"/>
    </row>
    <row r="519">
      <c r="H519" s="36"/>
    </row>
    <row r="520">
      <c r="H520" s="36"/>
    </row>
    <row r="521">
      <c r="H521" s="36"/>
    </row>
    <row r="522">
      <c r="H522" s="36"/>
    </row>
    <row r="523">
      <c r="H523" s="36"/>
    </row>
    <row r="524">
      <c r="H524" s="36"/>
    </row>
    <row r="525">
      <c r="H525" s="36"/>
    </row>
    <row r="526">
      <c r="H526" s="36"/>
    </row>
    <row r="527">
      <c r="H527" s="36"/>
    </row>
    <row r="528">
      <c r="H528" s="36"/>
    </row>
    <row r="529">
      <c r="H529" s="36"/>
    </row>
    <row r="530">
      <c r="H530" s="36"/>
    </row>
    <row r="531">
      <c r="H531" s="36"/>
    </row>
    <row r="532">
      <c r="H532" s="36"/>
    </row>
    <row r="533">
      <c r="H533" s="36"/>
    </row>
    <row r="534">
      <c r="H534" s="36"/>
    </row>
    <row r="535">
      <c r="H535" s="36"/>
    </row>
    <row r="536">
      <c r="H536" s="36"/>
    </row>
    <row r="537">
      <c r="H537" s="36"/>
    </row>
    <row r="538">
      <c r="H538" s="36"/>
    </row>
    <row r="539">
      <c r="H539" s="36"/>
    </row>
    <row r="540">
      <c r="H540" s="36"/>
    </row>
    <row r="541">
      <c r="H541" s="36"/>
    </row>
    <row r="542">
      <c r="H542" s="36"/>
    </row>
    <row r="543">
      <c r="H543" s="36"/>
    </row>
    <row r="544">
      <c r="H544" s="36"/>
    </row>
    <row r="545">
      <c r="H545" s="36"/>
    </row>
    <row r="546">
      <c r="H546" s="36"/>
    </row>
    <row r="547">
      <c r="H547" s="36"/>
    </row>
    <row r="548">
      <c r="H548" s="36"/>
    </row>
    <row r="549">
      <c r="H549" s="36"/>
    </row>
    <row r="550">
      <c r="H550" s="36"/>
    </row>
    <row r="551">
      <c r="H551" s="36"/>
    </row>
    <row r="552">
      <c r="H552" s="36"/>
    </row>
    <row r="553">
      <c r="H553" s="36"/>
    </row>
    <row r="554">
      <c r="H554" s="36"/>
    </row>
    <row r="555">
      <c r="H555" s="36"/>
    </row>
    <row r="556">
      <c r="H556" s="36"/>
    </row>
    <row r="557">
      <c r="H557" s="36"/>
    </row>
    <row r="558">
      <c r="H558" s="36"/>
    </row>
    <row r="559">
      <c r="H559" s="36"/>
    </row>
    <row r="560">
      <c r="H560" s="36"/>
    </row>
    <row r="561">
      <c r="H561" s="36"/>
    </row>
    <row r="562">
      <c r="H562" s="36"/>
    </row>
    <row r="563">
      <c r="H563" s="36"/>
    </row>
    <row r="564">
      <c r="H564" s="36"/>
    </row>
    <row r="565">
      <c r="H565" s="36"/>
    </row>
    <row r="566">
      <c r="H566" s="36"/>
    </row>
    <row r="567">
      <c r="H567" s="36"/>
    </row>
    <row r="568">
      <c r="H568" s="36"/>
    </row>
    <row r="569">
      <c r="H569" s="36"/>
    </row>
    <row r="570">
      <c r="H570" s="36"/>
    </row>
    <row r="571">
      <c r="H571" s="36"/>
    </row>
    <row r="572">
      <c r="H572" s="36"/>
    </row>
    <row r="573">
      <c r="H573" s="36"/>
    </row>
    <row r="574">
      <c r="H574" s="36"/>
    </row>
    <row r="575">
      <c r="H575" s="36"/>
    </row>
    <row r="576">
      <c r="H576" s="36"/>
    </row>
    <row r="577">
      <c r="H577" s="36"/>
    </row>
    <row r="578">
      <c r="H578" s="36"/>
    </row>
    <row r="579">
      <c r="H579" s="36"/>
    </row>
    <row r="580">
      <c r="H580" s="36"/>
    </row>
    <row r="581">
      <c r="H581" s="36"/>
    </row>
    <row r="582">
      <c r="H582" s="36"/>
    </row>
    <row r="583">
      <c r="H583" s="36"/>
    </row>
    <row r="584">
      <c r="H584" s="36"/>
    </row>
    <row r="585">
      <c r="H585" s="36"/>
    </row>
    <row r="586">
      <c r="H586" s="36"/>
    </row>
    <row r="587">
      <c r="H587" s="36"/>
    </row>
    <row r="588">
      <c r="H588" s="36"/>
    </row>
    <row r="589">
      <c r="H589" s="36"/>
    </row>
    <row r="590">
      <c r="H590" s="36"/>
    </row>
    <row r="591">
      <c r="H591" s="36"/>
    </row>
    <row r="592">
      <c r="H592" s="36"/>
    </row>
    <row r="593">
      <c r="H593" s="36"/>
    </row>
    <row r="594">
      <c r="H594" s="36"/>
    </row>
    <row r="595">
      <c r="H595" s="36"/>
    </row>
    <row r="596">
      <c r="H596" s="36"/>
    </row>
    <row r="597">
      <c r="H597" s="36"/>
    </row>
    <row r="598">
      <c r="H598" s="36"/>
    </row>
    <row r="599">
      <c r="H599" s="36"/>
    </row>
    <row r="600">
      <c r="H600" s="36"/>
    </row>
    <row r="601">
      <c r="H601" s="36"/>
    </row>
    <row r="602">
      <c r="H602" s="36"/>
    </row>
    <row r="603">
      <c r="H603" s="36"/>
    </row>
    <row r="604">
      <c r="H604" s="36"/>
    </row>
    <row r="605">
      <c r="H605" s="36"/>
    </row>
    <row r="606">
      <c r="H606" s="36"/>
    </row>
    <row r="607">
      <c r="H607" s="36"/>
    </row>
    <row r="608">
      <c r="H608" s="36"/>
    </row>
    <row r="609">
      <c r="H609" s="36"/>
    </row>
    <row r="610">
      <c r="H610" s="36"/>
    </row>
    <row r="611">
      <c r="H611" s="36"/>
    </row>
    <row r="612">
      <c r="H612" s="36"/>
    </row>
    <row r="613">
      <c r="H613" s="36"/>
    </row>
    <row r="614">
      <c r="H614" s="36"/>
    </row>
    <row r="615">
      <c r="H615" s="36"/>
    </row>
    <row r="616">
      <c r="H616" s="36"/>
    </row>
    <row r="617">
      <c r="H617" s="36"/>
    </row>
    <row r="618">
      <c r="H618" s="36"/>
    </row>
    <row r="619">
      <c r="H619" s="36"/>
    </row>
    <row r="620">
      <c r="H620" s="36"/>
    </row>
    <row r="621">
      <c r="H621" s="36"/>
    </row>
    <row r="622">
      <c r="H622" s="36"/>
    </row>
    <row r="623">
      <c r="H623" s="36"/>
    </row>
    <row r="624">
      <c r="H624" s="36"/>
    </row>
    <row r="625">
      <c r="H625" s="36"/>
    </row>
    <row r="626">
      <c r="H626" s="36"/>
    </row>
    <row r="627">
      <c r="H627" s="36"/>
    </row>
    <row r="628">
      <c r="H628" s="36"/>
    </row>
    <row r="629">
      <c r="H629" s="36"/>
    </row>
    <row r="630">
      <c r="H630" s="36"/>
    </row>
    <row r="631">
      <c r="H631" s="36"/>
    </row>
    <row r="632">
      <c r="H632" s="36"/>
    </row>
    <row r="633">
      <c r="H633" s="36"/>
    </row>
    <row r="634">
      <c r="H634" s="36"/>
    </row>
    <row r="635">
      <c r="H635" s="36"/>
    </row>
    <row r="636">
      <c r="H636" s="36"/>
    </row>
    <row r="637">
      <c r="H637" s="36"/>
    </row>
    <row r="638">
      <c r="H638" s="36"/>
    </row>
    <row r="639">
      <c r="H639" s="36"/>
    </row>
    <row r="640">
      <c r="H640" s="36"/>
    </row>
    <row r="641">
      <c r="H641" s="36"/>
    </row>
    <row r="642">
      <c r="H642" s="36"/>
    </row>
    <row r="643">
      <c r="H643" s="36"/>
    </row>
    <row r="644">
      <c r="H644" s="36"/>
    </row>
    <row r="645">
      <c r="H645" s="36"/>
    </row>
    <row r="646">
      <c r="H646" s="36"/>
    </row>
    <row r="647">
      <c r="H647" s="36"/>
    </row>
    <row r="648">
      <c r="H648" s="36"/>
    </row>
    <row r="649">
      <c r="H649" s="36"/>
    </row>
    <row r="650">
      <c r="H650" s="36"/>
    </row>
    <row r="651">
      <c r="H651" s="36"/>
    </row>
    <row r="652">
      <c r="H652" s="36"/>
    </row>
    <row r="653">
      <c r="H653" s="36"/>
    </row>
    <row r="654">
      <c r="H654" s="36"/>
    </row>
    <row r="655">
      <c r="H655" s="36"/>
    </row>
    <row r="656">
      <c r="H656" s="36"/>
    </row>
    <row r="657">
      <c r="H657" s="36"/>
    </row>
    <row r="658">
      <c r="H658" s="36"/>
    </row>
    <row r="659">
      <c r="H659" s="36"/>
    </row>
    <row r="660">
      <c r="H660" s="36"/>
    </row>
    <row r="661">
      <c r="H661" s="36"/>
    </row>
    <row r="662">
      <c r="H662" s="36"/>
    </row>
    <row r="663">
      <c r="H663" s="36"/>
    </row>
    <row r="664">
      <c r="H664" s="36"/>
    </row>
    <row r="665">
      <c r="H665" s="36"/>
    </row>
    <row r="666">
      <c r="H666" s="36"/>
    </row>
    <row r="667">
      <c r="H667" s="36"/>
    </row>
    <row r="668">
      <c r="H668" s="36"/>
    </row>
    <row r="669">
      <c r="H669" s="36"/>
    </row>
    <row r="670">
      <c r="H670" s="36"/>
    </row>
    <row r="671">
      <c r="H671" s="36"/>
    </row>
    <row r="672">
      <c r="H672" s="36"/>
    </row>
    <row r="673">
      <c r="H673" s="36"/>
    </row>
    <row r="674">
      <c r="H674" s="36"/>
    </row>
    <row r="675">
      <c r="H675" s="36"/>
    </row>
    <row r="676">
      <c r="H676" s="36"/>
    </row>
    <row r="677">
      <c r="H677" s="36"/>
    </row>
    <row r="678">
      <c r="H678" s="36"/>
    </row>
    <row r="679">
      <c r="H679" s="36"/>
    </row>
    <row r="680">
      <c r="H680" s="36"/>
    </row>
    <row r="681">
      <c r="H681" s="36"/>
    </row>
    <row r="682">
      <c r="H682" s="36"/>
    </row>
    <row r="683">
      <c r="H683" s="36"/>
    </row>
    <row r="684">
      <c r="H684" s="36"/>
    </row>
    <row r="685">
      <c r="H685" s="36"/>
    </row>
    <row r="686">
      <c r="H686" s="36"/>
    </row>
    <row r="687">
      <c r="H687" s="36"/>
    </row>
    <row r="688">
      <c r="H688" s="36"/>
    </row>
    <row r="689">
      <c r="H689" s="36"/>
    </row>
    <row r="690">
      <c r="H690" s="36"/>
    </row>
    <row r="691">
      <c r="H691" s="36"/>
    </row>
    <row r="692">
      <c r="H692" s="36"/>
    </row>
    <row r="693">
      <c r="H693" s="36"/>
    </row>
    <row r="694">
      <c r="H694" s="36"/>
    </row>
    <row r="695">
      <c r="H695" s="36"/>
    </row>
    <row r="696">
      <c r="H696" s="36"/>
    </row>
    <row r="697">
      <c r="H697" s="36"/>
    </row>
    <row r="698">
      <c r="H698" s="36"/>
    </row>
    <row r="699">
      <c r="H699" s="36"/>
    </row>
    <row r="700">
      <c r="H700" s="36"/>
    </row>
    <row r="701">
      <c r="H701" s="36"/>
    </row>
    <row r="702">
      <c r="H702" s="36"/>
    </row>
    <row r="703">
      <c r="H703" s="36"/>
    </row>
    <row r="704">
      <c r="H704" s="36"/>
    </row>
    <row r="705">
      <c r="H705" s="36"/>
    </row>
    <row r="706">
      <c r="H706" s="36"/>
    </row>
    <row r="707">
      <c r="H707" s="36"/>
    </row>
    <row r="708">
      <c r="H708" s="36"/>
    </row>
    <row r="709">
      <c r="H709" s="36"/>
    </row>
    <row r="710">
      <c r="H710" s="36"/>
    </row>
    <row r="711">
      <c r="H711" s="36"/>
    </row>
    <row r="712">
      <c r="H712" s="36"/>
    </row>
    <row r="713">
      <c r="H713" s="36"/>
    </row>
    <row r="714">
      <c r="H714" s="36"/>
    </row>
    <row r="715">
      <c r="H715" s="36"/>
    </row>
    <row r="716">
      <c r="H716" s="36"/>
    </row>
    <row r="717">
      <c r="H717" s="36"/>
    </row>
    <row r="718">
      <c r="H718" s="36"/>
    </row>
    <row r="719">
      <c r="H719" s="36"/>
    </row>
    <row r="720">
      <c r="H720" s="36"/>
    </row>
    <row r="721">
      <c r="H721" s="36"/>
    </row>
    <row r="722">
      <c r="H722" s="36"/>
    </row>
    <row r="723">
      <c r="H723" s="36"/>
    </row>
    <row r="724">
      <c r="H724" s="36"/>
    </row>
    <row r="725">
      <c r="H725" s="36"/>
    </row>
    <row r="726">
      <c r="H726" s="36"/>
    </row>
    <row r="727">
      <c r="H727" s="36"/>
    </row>
    <row r="728">
      <c r="H728" s="36"/>
    </row>
    <row r="729">
      <c r="H729" s="36"/>
    </row>
    <row r="730">
      <c r="H730" s="36"/>
    </row>
    <row r="731">
      <c r="H731" s="36"/>
    </row>
    <row r="732">
      <c r="H732" s="36"/>
    </row>
    <row r="733">
      <c r="H733" s="36"/>
    </row>
    <row r="734">
      <c r="H734" s="36"/>
    </row>
    <row r="735">
      <c r="H735" s="36"/>
    </row>
    <row r="736">
      <c r="H736" s="36"/>
    </row>
    <row r="737">
      <c r="H737" s="36"/>
    </row>
    <row r="738">
      <c r="H738" s="36"/>
    </row>
    <row r="739">
      <c r="H739" s="36"/>
    </row>
    <row r="740">
      <c r="H740" s="36"/>
    </row>
    <row r="741">
      <c r="H741" s="36"/>
    </row>
    <row r="742">
      <c r="H742" s="36"/>
    </row>
    <row r="743">
      <c r="H743" s="36"/>
    </row>
    <row r="744">
      <c r="H744" s="36"/>
    </row>
    <row r="745">
      <c r="H745" s="36"/>
    </row>
    <row r="746">
      <c r="H746" s="36"/>
    </row>
    <row r="747">
      <c r="H747" s="36"/>
    </row>
    <row r="748">
      <c r="H748" s="36"/>
    </row>
    <row r="749">
      <c r="H749" s="36"/>
    </row>
    <row r="750">
      <c r="H750" s="36"/>
    </row>
    <row r="751">
      <c r="H751" s="36"/>
    </row>
    <row r="752">
      <c r="H752" s="36"/>
    </row>
    <row r="753">
      <c r="H753" s="36"/>
    </row>
    <row r="754">
      <c r="H754" s="36"/>
    </row>
    <row r="755">
      <c r="H755" s="36"/>
    </row>
    <row r="756">
      <c r="H756" s="36"/>
    </row>
    <row r="757">
      <c r="H757" s="36"/>
    </row>
    <row r="758">
      <c r="H758" s="36"/>
    </row>
    <row r="759">
      <c r="H759" s="36"/>
    </row>
    <row r="760">
      <c r="H760" s="36"/>
    </row>
    <row r="761">
      <c r="H761" s="36"/>
    </row>
    <row r="762">
      <c r="H762" s="36"/>
    </row>
    <row r="763">
      <c r="H763" s="36"/>
    </row>
    <row r="764">
      <c r="H764" s="36"/>
    </row>
    <row r="765">
      <c r="H765" s="36"/>
    </row>
    <row r="766">
      <c r="H766" s="36"/>
    </row>
    <row r="767">
      <c r="H767" s="36"/>
    </row>
    <row r="768">
      <c r="H768" s="36"/>
    </row>
    <row r="769">
      <c r="H769" s="36"/>
    </row>
    <row r="770">
      <c r="H770" s="36"/>
    </row>
    <row r="771">
      <c r="H771" s="36"/>
    </row>
    <row r="772">
      <c r="H772" s="36"/>
    </row>
    <row r="773">
      <c r="H773" s="36"/>
    </row>
    <row r="774">
      <c r="H774" s="36"/>
    </row>
    <row r="775">
      <c r="H775" s="36"/>
    </row>
    <row r="776">
      <c r="H776" s="36"/>
    </row>
    <row r="777">
      <c r="H777" s="36"/>
    </row>
    <row r="778">
      <c r="H778" s="36"/>
    </row>
    <row r="779">
      <c r="H779" s="36"/>
    </row>
    <row r="780">
      <c r="H780" s="36"/>
    </row>
    <row r="781">
      <c r="H781" s="36"/>
    </row>
    <row r="782">
      <c r="H782" s="36"/>
    </row>
    <row r="783">
      <c r="H783" s="36"/>
    </row>
    <row r="784">
      <c r="H784" s="36"/>
    </row>
    <row r="785">
      <c r="H785" s="36"/>
    </row>
    <row r="786">
      <c r="H786" s="36"/>
    </row>
    <row r="787">
      <c r="H787" s="36"/>
    </row>
    <row r="788">
      <c r="H788" s="36"/>
    </row>
    <row r="789">
      <c r="H789" s="36"/>
    </row>
    <row r="790">
      <c r="H790" s="36"/>
    </row>
    <row r="791">
      <c r="H791" s="36"/>
    </row>
    <row r="792">
      <c r="H792" s="36"/>
    </row>
    <row r="793">
      <c r="H793" s="36"/>
    </row>
    <row r="794">
      <c r="H794" s="36"/>
    </row>
    <row r="795">
      <c r="H795" s="36"/>
    </row>
    <row r="796">
      <c r="H796" s="36"/>
    </row>
    <row r="797">
      <c r="H797" s="36"/>
    </row>
    <row r="798">
      <c r="H798" s="36"/>
    </row>
    <row r="799">
      <c r="H799" s="36"/>
    </row>
    <row r="800">
      <c r="H800" s="36"/>
    </row>
    <row r="801">
      <c r="H801" s="36"/>
    </row>
    <row r="802">
      <c r="H802" s="36"/>
    </row>
    <row r="803">
      <c r="H803" s="36"/>
    </row>
    <row r="804">
      <c r="H804" s="36"/>
    </row>
    <row r="805">
      <c r="H805" s="36"/>
    </row>
    <row r="806">
      <c r="H806" s="36"/>
    </row>
    <row r="807">
      <c r="H807" s="36"/>
    </row>
    <row r="808">
      <c r="H808" s="36"/>
    </row>
    <row r="809">
      <c r="H809" s="36"/>
    </row>
    <row r="810">
      <c r="H810" s="36"/>
    </row>
    <row r="811">
      <c r="H811" s="36"/>
    </row>
    <row r="812">
      <c r="H812" s="36"/>
    </row>
    <row r="813">
      <c r="H813" s="36"/>
    </row>
    <row r="814">
      <c r="H814" s="36"/>
    </row>
    <row r="815">
      <c r="H815" s="36"/>
    </row>
    <row r="816">
      <c r="H816" s="36"/>
    </row>
    <row r="817">
      <c r="H817" s="36"/>
    </row>
    <row r="818">
      <c r="H818" s="36"/>
    </row>
    <row r="819">
      <c r="H819" s="36"/>
    </row>
    <row r="820">
      <c r="H820" s="36"/>
    </row>
    <row r="821">
      <c r="H821" s="36"/>
    </row>
    <row r="822">
      <c r="H822" s="36"/>
    </row>
    <row r="823">
      <c r="H823" s="36"/>
    </row>
    <row r="824">
      <c r="H824" s="36"/>
    </row>
    <row r="825">
      <c r="H825" s="36"/>
    </row>
    <row r="826">
      <c r="H826" s="36"/>
    </row>
    <row r="827">
      <c r="H827" s="36"/>
    </row>
    <row r="828">
      <c r="H828" s="36"/>
    </row>
    <row r="829">
      <c r="H829" s="36"/>
    </row>
    <row r="830">
      <c r="H830" s="36"/>
    </row>
    <row r="831">
      <c r="H831" s="36"/>
    </row>
    <row r="832">
      <c r="H832" s="36"/>
    </row>
    <row r="833">
      <c r="H833" s="36"/>
    </row>
    <row r="834">
      <c r="H834" s="36"/>
    </row>
    <row r="835">
      <c r="H835" s="36"/>
    </row>
    <row r="836">
      <c r="H836" s="36"/>
    </row>
    <row r="837">
      <c r="H837" s="36"/>
    </row>
    <row r="838">
      <c r="H838" s="36"/>
    </row>
    <row r="839">
      <c r="H839" s="36"/>
    </row>
    <row r="840">
      <c r="H840" s="36"/>
    </row>
    <row r="841">
      <c r="H841" s="36"/>
    </row>
    <row r="842">
      <c r="H842" s="36"/>
    </row>
    <row r="843">
      <c r="H843" s="36"/>
    </row>
    <row r="844">
      <c r="H844" s="36"/>
    </row>
    <row r="845">
      <c r="H845" s="36"/>
    </row>
    <row r="846">
      <c r="H846" s="36"/>
    </row>
    <row r="847">
      <c r="H847" s="36"/>
    </row>
    <row r="848">
      <c r="H848" s="36"/>
    </row>
    <row r="849">
      <c r="H849" s="36"/>
    </row>
    <row r="850">
      <c r="H850" s="36"/>
    </row>
    <row r="851">
      <c r="H851" s="36"/>
    </row>
    <row r="852">
      <c r="H852" s="36"/>
    </row>
    <row r="853">
      <c r="H853" s="36"/>
    </row>
    <row r="854">
      <c r="H854" s="36"/>
    </row>
    <row r="855">
      <c r="H855" s="36"/>
    </row>
    <row r="856">
      <c r="H856" s="36"/>
    </row>
    <row r="857">
      <c r="H857" s="36"/>
    </row>
    <row r="858">
      <c r="H858" s="36"/>
    </row>
    <row r="859">
      <c r="H859" s="36"/>
    </row>
    <row r="860">
      <c r="H860" s="36"/>
    </row>
    <row r="861">
      <c r="H861" s="36"/>
    </row>
    <row r="862">
      <c r="H862" s="36"/>
    </row>
    <row r="863">
      <c r="H863" s="36"/>
    </row>
    <row r="864">
      <c r="H864" s="36"/>
    </row>
    <row r="865">
      <c r="H865" s="36"/>
    </row>
    <row r="866">
      <c r="H866" s="36"/>
    </row>
    <row r="867">
      <c r="H867" s="36"/>
    </row>
    <row r="868">
      <c r="H868" s="36"/>
    </row>
    <row r="869">
      <c r="H869" s="36"/>
    </row>
    <row r="870">
      <c r="H870" s="36"/>
    </row>
    <row r="871">
      <c r="H871" s="36"/>
    </row>
    <row r="872">
      <c r="H872" s="36"/>
    </row>
    <row r="873">
      <c r="H873" s="36"/>
    </row>
    <row r="874">
      <c r="H874" s="36"/>
    </row>
    <row r="875">
      <c r="H875" s="36"/>
    </row>
    <row r="876">
      <c r="H876" s="36"/>
    </row>
    <row r="877">
      <c r="H877" s="36"/>
    </row>
    <row r="878">
      <c r="H878" s="36"/>
    </row>
    <row r="879">
      <c r="H879" s="36"/>
    </row>
    <row r="880">
      <c r="H880" s="36"/>
    </row>
    <row r="881">
      <c r="H881" s="36"/>
    </row>
    <row r="882">
      <c r="H882" s="36"/>
    </row>
    <row r="883">
      <c r="H883" s="36"/>
    </row>
    <row r="884">
      <c r="H884" s="36"/>
    </row>
    <row r="885">
      <c r="H885" s="36"/>
    </row>
    <row r="886">
      <c r="H886" s="36"/>
    </row>
    <row r="887">
      <c r="H887" s="36"/>
    </row>
    <row r="888">
      <c r="H888" s="36"/>
    </row>
    <row r="889">
      <c r="H889" s="36"/>
    </row>
    <row r="890">
      <c r="H890" s="36"/>
    </row>
    <row r="891">
      <c r="H891" s="36"/>
    </row>
    <row r="892">
      <c r="H892" s="36"/>
    </row>
    <row r="893">
      <c r="H893" s="36"/>
    </row>
    <row r="894">
      <c r="H894" s="36"/>
    </row>
    <row r="895">
      <c r="H895" s="36"/>
    </row>
    <row r="896">
      <c r="H896" s="36"/>
    </row>
    <row r="897">
      <c r="H897" s="36"/>
    </row>
    <row r="898">
      <c r="H898" s="36"/>
    </row>
    <row r="899">
      <c r="H899" s="36"/>
    </row>
    <row r="900">
      <c r="H900" s="36"/>
    </row>
    <row r="901">
      <c r="H901" s="36"/>
    </row>
    <row r="902">
      <c r="H902" s="36"/>
    </row>
    <row r="903">
      <c r="H903" s="36"/>
    </row>
    <row r="904">
      <c r="H904" s="36"/>
    </row>
    <row r="905">
      <c r="H905" s="36"/>
    </row>
    <row r="906">
      <c r="H906" s="36"/>
    </row>
    <row r="907">
      <c r="H907" s="36"/>
    </row>
    <row r="908">
      <c r="H908" s="36"/>
    </row>
    <row r="909">
      <c r="H909" s="36"/>
    </row>
    <row r="910">
      <c r="H910" s="36"/>
    </row>
    <row r="911">
      <c r="H911" s="36"/>
    </row>
    <row r="912">
      <c r="H912" s="36"/>
    </row>
    <row r="913">
      <c r="H913" s="36"/>
    </row>
    <row r="914">
      <c r="H914" s="36"/>
    </row>
    <row r="915">
      <c r="H915" s="36"/>
    </row>
    <row r="916">
      <c r="H916" s="36"/>
    </row>
    <row r="917">
      <c r="H917" s="36"/>
    </row>
    <row r="918">
      <c r="H918" s="36"/>
    </row>
    <row r="919">
      <c r="H919" s="36"/>
    </row>
    <row r="920">
      <c r="H920" s="36"/>
    </row>
    <row r="921">
      <c r="H921" s="36"/>
    </row>
    <row r="922">
      <c r="H922" s="36"/>
    </row>
    <row r="923">
      <c r="H923" s="36"/>
    </row>
    <row r="924">
      <c r="H924" s="36"/>
    </row>
    <row r="925">
      <c r="H925" s="36"/>
    </row>
    <row r="926">
      <c r="H926" s="36"/>
    </row>
    <row r="927">
      <c r="H927" s="36"/>
    </row>
    <row r="928">
      <c r="H928" s="36"/>
    </row>
    <row r="929">
      <c r="H929" s="36"/>
    </row>
    <row r="930">
      <c r="H930" s="36"/>
    </row>
    <row r="931">
      <c r="H931" s="36"/>
    </row>
    <row r="932">
      <c r="H932" s="36"/>
    </row>
    <row r="933">
      <c r="H933" s="36"/>
    </row>
    <row r="934">
      <c r="H934" s="36"/>
    </row>
    <row r="935">
      <c r="H935" s="36"/>
    </row>
    <row r="936">
      <c r="H936" s="36"/>
    </row>
    <row r="937">
      <c r="H937" s="36"/>
    </row>
    <row r="938">
      <c r="H938" s="36"/>
    </row>
    <row r="939">
      <c r="H939" s="36"/>
    </row>
    <row r="940">
      <c r="H940" s="36"/>
    </row>
    <row r="941">
      <c r="H941" s="36"/>
    </row>
    <row r="942">
      <c r="H942" s="36"/>
    </row>
    <row r="943">
      <c r="H943" s="36"/>
    </row>
    <row r="944">
      <c r="H944" s="36"/>
    </row>
    <row r="945">
      <c r="H945" s="36"/>
    </row>
    <row r="946">
      <c r="H946" s="36"/>
    </row>
    <row r="947">
      <c r="H947" s="36"/>
    </row>
    <row r="948">
      <c r="H948" s="36"/>
    </row>
    <row r="949">
      <c r="H949" s="36"/>
    </row>
    <row r="950">
      <c r="H950" s="36"/>
    </row>
    <row r="951">
      <c r="H951" s="36"/>
    </row>
    <row r="952">
      <c r="H952" s="36"/>
    </row>
    <row r="953">
      <c r="H953" s="36"/>
    </row>
    <row r="954">
      <c r="H954" s="36"/>
    </row>
    <row r="955">
      <c r="H955" s="36"/>
    </row>
    <row r="956">
      <c r="H956" s="36"/>
    </row>
    <row r="957">
      <c r="H957" s="36"/>
    </row>
    <row r="958">
      <c r="H958" s="36"/>
    </row>
    <row r="959">
      <c r="H959" s="36"/>
    </row>
    <row r="960">
      <c r="H960" s="36"/>
    </row>
    <row r="961">
      <c r="H961" s="36"/>
    </row>
    <row r="962">
      <c r="H962" s="36"/>
    </row>
    <row r="963">
      <c r="H963" s="36"/>
    </row>
    <row r="964">
      <c r="H964" s="36"/>
    </row>
    <row r="965">
      <c r="H965" s="36"/>
    </row>
    <row r="966">
      <c r="H966" s="36"/>
    </row>
    <row r="967">
      <c r="H967" s="36"/>
    </row>
    <row r="968">
      <c r="H968" s="36"/>
    </row>
    <row r="969">
      <c r="H969" s="36"/>
    </row>
    <row r="970">
      <c r="H970" s="36"/>
    </row>
    <row r="971">
      <c r="H971" s="36"/>
    </row>
    <row r="972">
      <c r="H972" s="36"/>
    </row>
    <row r="973">
      <c r="H973" s="36"/>
    </row>
    <row r="974">
      <c r="H974" s="36"/>
    </row>
    <row r="975">
      <c r="H975" s="36"/>
    </row>
    <row r="976">
      <c r="H976" s="36"/>
    </row>
    <row r="977">
      <c r="H977" s="36"/>
    </row>
    <row r="978">
      <c r="H978" s="36"/>
    </row>
    <row r="979">
      <c r="H979" s="36"/>
    </row>
    <row r="980">
      <c r="H980" s="36"/>
    </row>
    <row r="981">
      <c r="H981" s="36"/>
    </row>
    <row r="982">
      <c r="H982" s="36"/>
    </row>
  </sheetData>
  <dataValidations>
    <dataValidation type="custom" allowBlank="1" showDropDown="1" sqref="F3:F83 H3:H83">
      <formula1>AND(ISNUMBER(F3),(NOT(OR(NOT(ISERROR(DATEVALUE(F3))), AND(ISNUMBER(F3), LEFT(CELL("format", F3))="D")))))</formula1>
    </dataValidation>
    <dataValidation allowBlank="1" showDropDown="1" sqref="D3:D83"/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.38"/>
    <col customWidth="1" min="2" max="2" width="17.25"/>
    <col customWidth="1" min="3" max="3" width="9.13"/>
    <col customWidth="1" min="4" max="4" width="9.88"/>
    <col customWidth="1" min="5" max="5" width="39.75"/>
    <col customWidth="1" min="6" max="6" width="57.5"/>
    <col customWidth="1" min="7" max="7" width="12.88"/>
    <col customWidth="1" min="8" max="8" width="5.63"/>
    <col customWidth="1" min="9" max="9" width="16.63"/>
    <col customWidth="1" min="10" max="10" width="20.25"/>
    <col customWidth="1" min="14" max="14" width="7.5"/>
    <col customWidth="1" min="15" max="15" width="20.25"/>
    <col customWidth="1" min="16" max="16" width="18.38"/>
    <col customWidth="1" min="17" max="17" width="11.38"/>
    <col customWidth="1" min="18" max="19" width="18.38"/>
    <col customWidth="1" min="20" max="20" width="20.25"/>
    <col customWidth="1" min="24" max="24" width="15.38"/>
    <col customWidth="1" min="25" max="25" width="14.5"/>
    <col customWidth="1" min="29" max="29" width="15.63"/>
    <col customWidth="1" min="30" max="30" width="20.0"/>
    <col customWidth="1" min="34" max="34" width="14.5"/>
    <col customWidth="1" min="35" max="35" width="20.0"/>
    <col customWidth="1" min="36" max="39" width="14.5"/>
    <col customWidth="1" min="40" max="40" width="20.0"/>
  </cols>
  <sheetData>
    <row r="1" ht="14.25" customHeight="1">
      <c r="A1" s="87"/>
      <c r="B1" s="88" t="s">
        <v>209</v>
      </c>
      <c r="C1" s="89" t="s">
        <v>210</v>
      </c>
      <c r="D1" s="89" t="s">
        <v>6</v>
      </c>
      <c r="E1" s="89" t="s">
        <v>7</v>
      </c>
      <c r="F1" s="89" t="s">
        <v>5</v>
      </c>
      <c r="G1" s="90" t="s">
        <v>211</v>
      </c>
      <c r="H1" s="87"/>
      <c r="I1" s="87"/>
    </row>
    <row r="2" ht="14.25" customHeight="1">
      <c r="A2" s="87"/>
      <c r="B2" s="91" t="s">
        <v>212</v>
      </c>
      <c r="C2" s="92">
        <v>106562.0</v>
      </c>
      <c r="D2" s="93" t="s">
        <v>54</v>
      </c>
      <c r="E2" s="93" t="s">
        <v>55</v>
      </c>
      <c r="F2" s="93" t="s">
        <v>53</v>
      </c>
      <c r="G2" s="94">
        <v>89820.0</v>
      </c>
      <c r="H2" s="87"/>
      <c r="I2" s="87"/>
    </row>
    <row r="3" ht="14.25" customHeight="1">
      <c r="A3" s="87"/>
      <c r="B3" s="95"/>
      <c r="C3" s="96">
        <v>107405.0</v>
      </c>
      <c r="D3" s="82" t="s">
        <v>54</v>
      </c>
      <c r="E3" s="82" t="s">
        <v>57</v>
      </c>
      <c r="F3" s="82" t="s">
        <v>56</v>
      </c>
      <c r="G3" s="83">
        <v>89340.0</v>
      </c>
      <c r="H3" s="97"/>
      <c r="I3" s="87"/>
    </row>
    <row r="4" ht="14.25" customHeight="1">
      <c r="A4" s="87"/>
      <c r="B4" s="95"/>
      <c r="C4" s="96">
        <v>106597.0</v>
      </c>
      <c r="D4" s="82" t="s">
        <v>54</v>
      </c>
      <c r="E4" s="82" t="s">
        <v>59</v>
      </c>
      <c r="F4" s="82" t="s">
        <v>58</v>
      </c>
      <c r="G4" s="83">
        <v>104358.0</v>
      </c>
      <c r="H4" s="87"/>
      <c r="I4" s="87"/>
    </row>
    <row r="5" ht="14.25" customHeight="1">
      <c r="A5" s="87"/>
      <c r="B5" s="95"/>
      <c r="C5" s="96">
        <v>107404.0</v>
      </c>
      <c r="D5" s="82" t="s">
        <v>54</v>
      </c>
      <c r="E5" s="82" t="s">
        <v>61</v>
      </c>
      <c r="F5" s="82" t="s">
        <v>60</v>
      </c>
      <c r="G5" s="83">
        <v>105104.0</v>
      </c>
      <c r="H5" s="87"/>
      <c r="I5" s="87"/>
    </row>
    <row r="6" ht="14.25" customHeight="1">
      <c r="A6" s="87"/>
      <c r="B6" s="95"/>
      <c r="C6" s="96">
        <v>108404.0</v>
      </c>
      <c r="D6" s="82" t="s">
        <v>54</v>
      </c>
      <c r="E6" s="82" t="s">
        <v>62</v>
      </c>
      <c r="F6" s="82" t="s">
        <v>17</v>
      </c>
      <c r="G6" s="83">
        <v>105690.9512195122</v>
      </c>
      <c r="H6" s="87"/>
      <c r="I6" s="98" t="s">
        <v>213</v>
      </c>
      <c r="J6" s="99"/>
      <c r="K6" s="99"/>
      <c r="L6" s="99"/>
      <c r="M6" s="100"/>
      <c r="N6" s="98" t="s">
        <v>214</v>
      </c>
      <c r="O6" s="99"/>
      <c r="P6" s="99"/>
      <c r="Q6" s="99"/>
      <c r="R6" s="100"/>
      <c r="S6" s="98" t="s">
        <v>215</v>
      </c>
      <c r="T6" s="99"/>
      <c r="U6" s="99"/>
      <c r="V6" s="99"/>
      <c r="W6" s="100"/>
      <c r="X6" s="98" t="s">
        <v>216</v>
      </c>
      <c r="Y6" s="99"/>
      <c r="Z6" s="99"/>
      <c r="AA6" s="99"/>
      <c r="AB6" s="100"/>
      <c r="AC6" s="98" t="s">
        <v>217</v>
      </c>
      <c r="AD6" s="99"/>
      <c r="AE6" s="99"/>
      <c r="AF6" s="99"/>
      <c r="AG6" s="100"/>
      <c r="AH6" s="98" t="s">
        <v>218</v>
      </c>
      <c r="AI6" s="99"/>
      <c r="AJ6" s="99"/>
      <c r="AK6" s="99"/>
      <c r="AL6" s="100"/>
      <c r="AM6" s="98" t="s">
        <v>219</v>
      </c>
      <c r="AN6" s="99"/>
      <c r="AO6" s="99"/>
      <c r="AP6" s="99"/>
      <c r="AQ6" s="100"/>
    </row>
    <row r="7" ht="14.25" customHeight="1">
      <c r="A7" s="87"/>
      <c r="B7" s="95"/>
      <c r="C7" s="96">
        <v>108407.0</v>
      </c>
      <c r="D7" s="82" t="s">
        <v>64</v>
      </c>
      <c r="E7" s="82" t="s">
        <v>65</v>
      </c>
      <c r="F7" s="82" t="s">
        <v>63</v>
      </c>
      <c r="G7" s="83">
        <v>90909.0</v>
      </c>
      <c r="H7" s="87"/>
      <c r="I7" s="95"/>
      <c r="M7" s="101"/>
      <c r="N7" s="95"/>
      <c r="R7" s="101"/>
      <c r="S7" s="95"/>
      <c r="W7" s="101"/>
      <c r="X7" s="95"/>
      <c r="AB7" s="101"/>
      <c r="AC7" s="95"/>
      <c r="AG7" s="101"/>
      <c r="AH7" s="95"/>
      <c r="AL7" s="101"/>
      <c r="AM7" s="95"/>
      <c r="AQ7" s="101"/>
    </row>
    <row r="8" ht="14.25" customHeight="1">
      <c r="A8" s="87"/>
      <c r="B8" s="95"/>
      <c r="C8" s="102">
        <v>108408.0</v>
      </c>
      <c r="D8" s="85" t="s">
        <v>64</v>
      </c>
      <c r="E8" s="85" t="s">
        <v>67</v>
      </c>
      <c r="F8" s="85" t="s">
        <v>66</v>
      </c>
      <c r="G8" s="86">
        <v>105690.9512195122</v>
      </c>
      <c r="H8" s="87"/>
      <c r="I8" s="103"/>
      <c r="J8" s="104"/>
      <c r="K8" s="104"/>
      <c r="L8" s="104"/>
      <c r="M8" s="105"/>
      <c r="N8" s="103"/>
      <c r="O8" s="104"/>
      <c r="P8" s="104"/>
      <c r="Q8" s="104"/>
      <c r="R8" s="105"/>
      <c r="S8" s="103"/>
      <c r="T8" s="104"/>
      <c r="U8" s="104"/>
      <c r="V8" s="104"/>
      <c r="W8" s="105"/>
      <c r="X8" s="103"/>
      <c r="Y8" s="104"/>
      <c r="Z8" s="104"/>
      <c r="AA8" s="104"/>
      <c r="AB8" s="105"/>
      <c r="AC8" s="103"/>
      <c r="AD8" s="104"/>
      <c r="AE8" s="104"/>
      <c r="AF8" s="104"/>
      <c r="AG8" s="105"/>
      <c r="AH8" s="103"/>
      <c r="AI8" s="104"/>
      <c r="AJ8" s="104"/>
      <c r="AK8" s="104"/>
      <c r="AL8" s="105"/>
      <c r="AM8" s="103"/>
      <c r="AN8" s="104"/>
      <c r="AO8" s="104"/>
      <c r="AP8" s="104"/>
      <c r="AQ8" s="105"/>
    </row>
    <row r="9" ht="14.25" customHeight="1">
      <c r="A9" s="87"/>
      <c r="B9" s="106" t="s">
        <v>220</v>
      </c>
      <c r="C9" s="107">
        <v>106641.0</v>
      </c>
      <c r="D9" s="108" t="s">
        <v>54</v>
      </c>
      <c r="E9" s="109" t="s">
        <v>69</v>
      </c>
      <c r="F9" s="110" t="s">
        <v>68</v>
      </c>
      <c r="G9" s="111">
        <v>680.0</v>
      </c>
      <c r="H9" s="87"/>
      <c r="I9" s="112"/>
      <c r="J9" s="113"/>
      <c r="K9" s="99"/>
      <c r="L9" s="99"/>
      <c r="M9" s="100"/>
      <c r="N9" s="112"/>
      <c r="O9" s="113"/>
      <c r="P9" s="99"/>
      <c r="Q9" s="99"/>
      <c r="R9" s="100"/>
      <c r="S9" s="112"/>
      <c r="T9" s="113"/>
      <c r="U9" s="99"/>
      <c r="V9" s="99"/>
      <c r="W9" s="100"/>
      <c r="X9" s="114"/>
      <c r="Y9" s="114"/>
      <c r="Z9" s="114"/>
      <c r="AA9" s="114"/>
      <c r="AB9" s="114"/>
      <c r="AC9" s="112"/>
      <c r="AD9" s="113"/>
      <c r="AE9" s="99"/>
      <c r="AF9" s="99"/>
      <c r="AG9" s="100"/>
      <c r="AH9" s="112"/>
      <c r="AI9" s="113"/>
      <c r="AJ9" s="99"/>
      <c r="AK9" s="99"/>
      <c r="AL9" s="100"/>
      <c r="AM9" s="112"/>
      <c r="AN9" s="113"/>
      <c r="AO9" s="99"/>
      <c r="AP9" s="99"/>
      <c r="AQ9" s="100"/>
    </row>
    <row r="10" ht="16.5" customHeight="1">
      <c r="A10" s="87"/>
      <c r="B10" s="115"/>
      <c r="C10" s="102">
        <v>106642.0</v>
      </c>
      <c r="D10" s="85" t="s">
        <v>54</v>
      </c>
      <c r="E10" s="116" t="s">
        <v>71</v>
      </c>
      <c r="F10" s="117" t="s">
        <v>70</v>
      </c>
      <c r="G10" s="118">
        <v>680.0</v>
      </c>
      <c r="H10" s="87"/>
      <c r="I10" s="119"/>
      <c r="L10" s="87" t="s">
        <v>221</v>
      </c>
      <c r="M10" s="120" t="s">
        <v>52</v>
      </c>
      <c r="N10" s="119"/>
      <c r="Q10" s="87" t="s">
        <v>221</v>
      </c>
      <c r="R10" s="120" t="s">
        <v>52</v>
      </c>
      <c r="S10" s="119"/>
      <c r="V10" s="87" t="s">
        <v>221</v>
      </c>
      <c r="W10" s="120" t="s">
        <v>52</v>
      </c>
      <c r="X10" s="119"/>
      <c r="AA10" s="87" t="s">
        <v>221</v>
      </c>
      <c r="AB10" s="120" t="s">
        <v>52</v>
      </c>
      <c r="AC10" s="119"/>
      <c r="AF10" s="87" t="s">
        <v>221</v>
      </c>
      <c r="AG10" s="120" t="s">
        <v>52</v>
      </c>
      <c r="AH10" s="119"/>
      <c r="AK10" s="87" t="s">
        <v>221</v>
      </c>
      <c r="AL10" s="120" t="s">
        <v>52</v>
      </c>
      <c r="AM10" s="119"/>
      <c r="AP10" s="87" t="s">
        <v>221</v>
      </c>
      <c r="AQ10" s="120" t="s">
        <v>52</v>
      </c>
    </row>
    <row r="11" ht="14.25" customHeight="1">
      <c r="A11" s="87"/>
      <c r="B11" s="121" t="s">
        <v>222</v>
      </c>
      <c r="C11" s="122">
        <v>106998.0</v>
      </c>
      <c r="D11" s="108" t="s">
        <v>73</v>
      </c>
      <c r="E11" s="108" t="s">
        <v>74</v>
      </c>
      <c r="F11" s="108" t="s">
        <v>223</v>
      </c>
      <c r="G11" s="123">
        <v>156800.0</v>
      </c>
      <c r="H11" s="87"/>
      <c r="I11" s="119" t="s">
        <v>62</v>
      </c>
      <c r="J11" s="124" t="s">
        <v>224</v>
      </c>
      <c r="K11" s="125">
        <f>$G$6</f>
        <v>105690.9512</v>
      </c>
      <c r="L11" s="126">
        <v>6.0</v>
      </c>
      <c r="M11" s="127">
        <f t="shared" ref="M11:M22" si="1">K11*L11</f>
        <v>634145.7073</v>
      </c>
      <c r="N11" s="119" t="s">
        <v>62</v>
      </c>
      <c r="O11" s="124" t="s">
        <v>224</v>
      </c>
      <c r="P11" s="125">
        <f>$G$6</f>
        <v>105690.9512</v>
      </c>
      <c r="Q11" s="126">
        <v>6.0</v>
      </c>
      <c r="R11" s="127">
        <f t="shared" ref="R11:R22" si="2">P11*Q11</f>
        <v>634145.7073</v>
      </c>
      <c r="S11" s="119" t="s">
        <v>62</v>
      </c>
      <c r="T11" s="124" t="s">
        <v>224</v>
      </c>
      <c r="U11" s="125">
        <f>$G$6</f>
        <v>105690.9512</v>
      </c>
      <c r="V11" s="128">
        <v>9.0</v>
      </c>
      <c r="W11" s="127">
        <f t="shared" ref="W11:W22" si="3">U11*V11</f>
        <v>951218.561</v>
      </c>
      <c r="X11" s="119" t="s">
        <v>62</v>
      </c>
      <c r="Y11" s="87" t="s">
        <v>225</v>
      </c>
      <c r="Z11" s="125">
        <f>$G$6</f>
        <v>105690.9512</v>
      </c>
      <c r="AA11" s="128">
        <v>9.0</v>
      </c>
      <c r="AB11" s="127">
        <f t="shared" ref="AB11:AB22" si="4">Z11*AA11</f>
        <v>951218.561</v>
      </c>
      <c r="AC11" s="119" t="s">
        <v>62</v>
      </c>
      <c r="AD11" s="124" t="s">
        <v>224</v>
      </c>
      <c r="AE11" s="125">
        <f>$G$6</f>
        <v>105690.9512</v>
      </c>
      <c r="AF11" s="126">
        <v>14.0</v>
      </c>
      <c r="AG11" s="127">
        <f t="shared" ref="AG11:AG22" si="5">AE11*AF11</f>
        <v>1479673.317</v>
      </c>
      <c r="AH11" s="119" t="s">
        <v>62</v>
      </c>
      <c r="AI11" s="124" t="s">
        <v>224</v>
      </c>
      <c r="AJ11" s="125">
        <f>$G$6</f>
        <v>105690.9512</v>
      </c>
      <c r="AK11" s="126">
        <v>18.0</v>
      </c>
      <c r="AL11" s="127">
        <f t="shared" ref="AL11:AL22" si="6">AJ11*AK11</f>
        <v>1902437.122</v>
      </c>
      <c r="AM11" s="119" t="s">
        <v>62</v>
      </c>
      <c r="AN11" s="124" t="s">
        <v>224</v>
      </c>
      <c r="AO11" s="125">
        <f>$G$6</f>
        <v>105690.9512</v>
      </c>
      <c r="AP11" s="126">
        <v>18.0</v>
      </c>
      <c r="AQ11" s="127">
        <f t="shared" ref="AQ11:AQ22" si="7">AO11*AP11</f>
        <v>1902437.122</v>
      </c>
    </row>
    <row r="12" ht="14.25" customHeight="1">
      <c r="A12" s="87"/>
      <c r="B12" s="129"/>
      <c r="C12" s="35">
        <v>106993.0</v>
      </c>
      <c r="D12" s="108" t="s">
        <v>73</v>
      </c>
      <c r="E12" s="82" t="s">
        <v>76</v>
      </c>
      <c r="F12" s="82" t="s">
        <v>226</v>
      </c>
      <c r="G12" s="83">
        <v>213458.823529412</v>
      </c>
      <c r="H12" s="87"/>
      <c r="I12" s="119" t="s">
        <v>109</v>
      </c>
      <c r="J12" s="87" t="s">
        <v>227</v>
      </c>
      <c r="K12" s="125">
        <f>$G$29</f>
        <v>795200</v>
      </c>
      <c r="L12" s="126">
        <v>1.0</v>
      </c>
      <c r="M12" s="127">
        <f t="shared" si="1"/>
        <v>795200</v>
      </c>
      <c r="N12" s="119" t="s">
        <v>111</v>
      </c>
      <c r="O12" s="124" t="s">
        <v>228</v>
      </c>
      <c r="P12" s="125">
        <v>811024.0</v>
      </c>
      <c r="Q12" s="126">
        <v>1.0</v>
      </c>
      <c r="R12" s="127">
        <f t="shared" si="2"/>
        <v>811024</v>
      </c>
      <c r="S12" s="119" t="s">
        <v>113</v>
      </c>
      <c r="T12" s="87" t="s">
        <v>229</v>
      </c>
      <c r="U12" s="125">
        <f>$G$31</f>
        <v>897259.6991</v>
      </c>
      <c r="V12" s="126">
        <v>1.0</v>
      </c>
      <c r="W12" s="127">
        <f t="shared" si="3"/>
        <v>897259.6991</v>
      </c>
      <c r="X12" s="119" t="s">
        <v>115</v>
      </c>
      <c r="Y12" s="124" t="s">
        <v>230</v>
      </c>
      <c r="Z12" s="125">
        <v>966335.9953703703</v>
      </c>
      <c r="AA12" s="126">
        <v>1.0</v>
      </c>
      <c r="AB12" s="127">
        <f t="shared" si="4"/>
        <v>966335.9954</v>
      </c>
      <c r="AC12" s="119" t="s">
        <v>117</v>
      </c>
      <c r="AD12" s="124" t="s">
        <v>231</v>
      </c>
      <c r="AE12" s="125">
        <v>1005813.0</v>
      </c>
      <c r="AF12" s="126">
        <v>1.0</v>
      </c>
      <c r="AG12" s="127">
        <f t="shared" si="5"/>
        <v>1005813</v>
      </c>
      <c r="AH12" s="119" t="s">
        <v>119</v>
      </c>
      <c r="AI12" s="124" t="s">
        <v>232</v>
      </c>
      <c r="AJ12" s="125">
        <v>1043625.0</v>
      </c>
      <c r="AK12" s="126">
        <v>1.0</v>
      </c>
      <c r="AL12" s="127">
        <f t="shared" si="6"/>
        <v>1043625</v>
      </c>
      <c r="AM12" s="130" t="s">
        <v>121</v>
      </c>
      <c r="AN12" s="124" t="s">
        <v>233</v>
      </c>
      <c r="AO12" s="125">
        <v>1156031.25</v>
      </c>
      <c r="AP12" s="126">
        <v>1.0</v>
      </c>
      <c r="AQ12" s="127">
        <f t="shared" si="7"/>
        <v>1156031.25</v>
      </c>
    </row>
    <row r="13" ht="14.25" customHeight="1">
      <c r="A13" s="87"/>
      <c r="B13" s="129"/>
      <c r="C13" s="35">
        <v>106992.0</v>
      </c>
      <c r="D13" s="108" t="s">
        <v>73</v>
      </c>
      <c r="E13" s="131" t="s">
        <v>78</v>
      </c>
      <c r="F13" s="82" t="s">
        <v>234</v>
      </c>
      <c r="G13" s="83">
        <v>322823.529411765</v>
      </c>
      <c r="H13" s="87"/>
      <c r="I13" s="132" t="s">
        <v>176</v>
      </c>
      <c r="J13" s="87" t="s">
        <v>235</v>
      </c>
      <c r="K13" s="125">
        <f>$G$51</f>
        <v>640000</v>
      </c>
      <c r="L13" s="126">
        <v>1.0</v>
      </c>
      <c r="M13" s="127">
        <f t="shared" si="1"/>
        <v>640000</v>
      </c>
      <c r="N13" s="132" t="s">
        <v>176</v>
      </c>
      <c r="O13" s="87" t="s">
        <v>235</v>
      </c>
      <c r="P13" s="125">
        <f>$G$51</f>
        <v>640000</v>
      </c>
      <c r="Q13" s="126">
        <v>1.0</v>
      </c>
      <c r="R13" s="127">
        <f t="shared" si="2"/>
        <v>640000</v>
      </c>
      <c r="S13" s="133" t="s">
        <v>176</v>
      </c>
      <c r="T13" s="87" t="s">
        <v>235</v>
      </c>
      <c r="U13" s="125">
        <f>$G$51</f>
        <v>640000</v>
      </c>
      <c r="V13" s="126">
        <v>1.0</v>
      </c>
      <c r="W13" s="127">
        <f t="shared" si="3"/>
        <v>640000</v>
      </c>
      <c r="X13" s="133" t="s">
        <v>176</v>
      </c>
      <c r="Y13" s="87" t="s">
        <v>235</v>
      </c>
      <c r="Z13" s="125">
        <f>$G$51</f>
        <v>640000</v>
      </c>
      <c r="AA13" s="126">
        <v>1.0</v>
      </c>
      <c r="AB13" s="127">
        <f t="shared" si="4"/>
        <v>640000</v>
      </c>
      <c r="AC13" s="133" t="s">
        <v>176</v>
      </c>
      <c r="AD13" s="87" t="s">
        <v>235</v>
      </c>
      <c r="AE13" s="125">
        <f>$G$51</f>
        <v>640000</v>
      </c>
      <c r="AF13" s="126">
        <v>2.0</v>
      </c>
      <c r="AG13" s="127">
        <f t="shared" si="5"/>
        <v>1280000</v>
      </c>
      <c r="AH13" s="133" t="s">
        <v>176</v>
      </c>
      <c r="AI13" s="87" t="s">
        <v>235</v>
      </c>
      <c r="AJ13" s="125">
        <f>$G$51</f>
        <v>640000</v>
      </c>
      <c r="AK13" s="126">
        <v>2.0</v>
      </c>
      <c r="AL13" s="127">
        <f t="shared" si="6"/>
        <v>1280000</v>
      </c>
      <c r="AM13" s="133" t="s">
        <v>176</v>
      </c>
      <c r="AN13" s="87" t="s">
        <v>235</v>
      </c>
      <c r="AO13" s="125">
        <f>$G$51</f>
        <v>640000</v>
      </c>
      <c r="AP13" s="126">
        <v>2.0</v>
      </c>
      <c r="AQ13" s="127">
        <f t="shared" si="7"/>
        <v>1280000</v>
      </c>
    </row>
    <row r="14" ht="14.25" customHeight="1">
      <c r="A14" s="87"/>
      <c r="B14" s="129"/>
      <c r="C14" s="35">
        <v>106942.0</v>
      </c>
      <c r="D14" s="108" t="s">
        <v>73</v>
      </c>
      <c r="E14" s="82" t="s">
        <v>80</v>
      </c>
      <c r="F14" s="82" t="s">
        <v>79</v>
      </c>
      <c r="G14" s="83">
        <v>914270.5555555556</v>
      </c>
      <c r="H14" s="87"/>
      <c r="I14" s="119"/>
      <c r="J14" s="87" t="s">
        <v>42</v>
      </c>
      <c r="K14" s="125">
        <f>$G$82</f>
        <v>18320</v>
      </c>
      <c r="L14" s="126">
        <v>3.0</v>
      </c>
      <c r="M14" s="127">
        <f t="shared" si="1"/>
        <v>54960</v>
      </c>
      <c r="N14" s="119"/>
      <c r="O14" s="87" t="s">
        <v>42</v>
      </c>
      <c r="P14" s="125">
        <f>$G$82</f>
        <v>18320</v>
      </c>
      <c r="Q14" s="126">
        <v>3.0</v>
      </c>
      <c r="R14" s="127">
        <f t="shared" si="2"/>
        <v>54960</v>
      </c>
      <c r="S14" s="119"/>
      <c r="T14" s="87" t="s">
        <v>42</v>
      </c>
      <c r="U14" s="125">
        <f>$G$82</f>
        <v>18320</v>
      </c>
      <c r="V14" s="128">
        <v>5.0</v>
      </c>
      <c r="W14" s="127">
        <f t="shared" si="3"/>
        <v>91600</v>
      </c>
      <c r="X14" s="119"/>
      <c r="Y14" s="87" t="s">
        <v>42</v>
      </c>
      <c r="Z14" s="125">
        <f>$G$82</f>
        <v>18320</v>
      </c>
      <c r="AA14" s="128">
        <v>5.0</v>
      </c>
      <c r="AB14" s="127">
        <f t="shared" si="4"/>
        <v>91600</v>
      </c>
      <c r="AC14" s="119"/>
      <c r="AD14" s="87" t="s">
        <v>42</v>
      </c>
      <c r="AE14" s="125">
        <f>$G$82</f>
        <v>18320</v>
      </c>
      <c r="AF14" s="126">
        <v>7.0</v>
      </c>
      <c r="AG14" s="127">
        <f t="shared" si="5"/>
        <v>128240</v>
      </c>
      <c r="AH14" s="119"/>
      <c r="AI14" s="87" t="s">
        <v>42</v>
      </c>
      <c r="AJ14" s="125">
        <f>$G$82</f>
        <v>18320</v>
      </c>
      <c r="AK14" s="128">
        <v>9.0</v>
      </c>
      <c r="AL14" s="127">
        <f t="shared" si="6"/>
        <v>164880</v>
      </c>
      <c r="AM14" s="119"/>
      <c r="AN14" s="87" t="s">
        <v>42</v>
      </c>
      <c r="AO14" s="125">
        <f>$G$82</f>
        <v>18320</v>
      </c>
      <c r="AP14" s="128">
        <v>9.0</v>
      </c>
      <c r="AQ14" s="127">
        <f t="shared" si="7"/>
        <v>164880</v>
      </c>
    </row>
    <row r="15" ht="14.25" customHeight="1">
      <c r="A15" s="87"/>
      <c r="B15" s="129"/>
      <c r="C15" s="35">
        <v>108053.0</v>
      </c>
      <c r="D15" s="108" t="s">
        <v>73</v>
      </c>
      <c r="E15" s="82" t="s">
        <v>82</v>
      </c>
      <c r="F15" s="82" t="s">
        <v>81</v>
      </c>
      <c r="G15" s="83">
        <v>1784000.0</v>
      </c>
      <c r="H15" s="87"/>
      <c r="I15" s="119"/>
      <c r="J15" s="87" t="s">
        <v>43</v>
      </c>
      <c r="K15" s="125">
        <f>$G$69</f>
        <v>1100</v>
      </c>
      <c r="L15" s="126">
        <v>10.0</v>
      </c>
      <c r="M15" s="127">
        <f t="shared" si="1"/>
        <v>11000</v>
      </c>
      <c r="N15" s="119"/>
      <c r="O15" s="87" t="s">
        <v>43</v>
      </c>
      <c r="P15" s="125">
        <f>$G$69</f>
        <v>1100</v>
      </c>
      <c r="Q15" s="126">
        <v>10.0</v>
      </c>
      <c r="R15" s="127">
        <f t="shared" si="2"/>
        <v>11000</v>
      </c>
      <c r="S15" s="119"/>
      <c r="T15" s="87" t="s">
        <v>43</v>
      </c>
      <c r="U15" s="125">
        <f>$G$69</f>
        <v>1100</v>
      </c>
      <c r="V15" s="128">
        <v>16.0</v>
      </c>
      <c r="W15" s="127">
        <f t="shared" si="3"/>
        <v>17600</v>
      </c>
      <c r="X15" s="119"/>
      <c r="Y15" s="87" t="s">
        <v>43</v>
      </c>
      <c r="Z15" s="125">
        <f>$G$69</f>
        <v>1100</v>
      </c>
      <c r="AA15" s="128">
        <v>16.0</v>
      </c>
      <c r="AB15" s="127">
        <f t="shared" si="4"/>
        <v>17600</v>
      </c>
      <c r="AC15" s="119"/>
      <c r="AD15" s="87" t="s">
        <v>43</v>
      </c>
      <c r="AE15" s="125">
        <f>$G$69</f>
        <v>1100</v>
      </c>
      <c r="AF15" s="126">
        <v>22.0</v>
      </c>
      <c r="AG15" s="127">
        <f t="shared" si="5"/>
        <v>24200</v>
      </c>
      <c r="AH15" s="119"/>
      <c r="AI15" s="87" t="s">
        <v>43</v>
      </c>
      <c r="AJ15" s="125">
        <f>$G$69</f>
        <v>1100</v>
      </c>
      <c r="AK15" s="128">
        <v>34.0</v>
      </c>
      <c r="AL15" s="127">
        <f t="shared" si="6"/>
        <v>37400</v>
      </c>
      <c r="AM15" s="119"/>
      <c r="AN15" s="87" t="s">
        <v>43</v>
      </c>
      <c r="AO15" s="125">
        <f>$G$69</f>
        <v>1100</v>
      </c>
      <c r="AP15" s="128">
        <v>34.0</v>
      </c>
      <c r="AQ15" s="127">
        <f t="shared" si="7"/>
        <v>37400</v>
      </c>
    </row>
    <row r="16">
      <c r="A16" s="87"/>
      <c r="B16" s="129"/>
      <c r="C16" s="35">
        <v>106694.0</v>
      </c>
      <c r="D16" s="108" t="s">
        <v>73</v>
      </c>
      <c r="E16" s="134" t="s">
        <v>84</v>
      </c>
      <c r="F16" s="34" t="s">
        <v>83</v>
      </c>
      <c r="G16" s="83">
        <v>325389.473684211</v>
      </c>
      <c r="H16" s="87"/>
      <c r="I16" s="119"/>
      <c r="J16" s="87" t="s">
        <v>44</v>
      </c>
      <c r="K16" s="125">
        <f>$G$85</f>
        <v>2500</v>
      </c>
      <c r="L16" s="87">
        <v>4.0</v>
      </c>
      <c r="M16" s="127">
        <f t="shared" si="1"/>
        <v>10000</v>
      </c>
      <c r="N16" s="119"/>
      <c r="O16" s="87" t="s">
        <v>44</v>
      </c>
      <c r="P16" s="125">
        <f>$G$85</f>
        <v>2500</v>
      </c>
      <c r="Q16" s="87">
        <v>4.0</v>
      </c>
      <c r="R16" s="127">
        <f t="shared" si="2"/>
        <v>10000</v>
      </c>
      <c r="S16" s="119"/>
      <c r="T16" s="87" t="s">
        <v>44</v>
      </c>
      <c r="U16" s="125">
        <f>$G$85</f>
        <v>2500</v>
      </c>
      <c r="V16" s="87">
        <v>4.0</v>
      </c>
      <c r="W16" s="127">
        <f t="shared" si="3"/>
        <v>10000</v>
      </c>
      <c r="X16" s="119"/>
      <c r="Y16" s="87" t="s">
        <v>44</v>
      </c>
      <c r="Z16" s="125">
        <f>$G$85</f>
        <v>2500</v>
      </c>
      <c r="AA16" s="87">
        <v>4.0</v>
      </c>
      <c r="AB16" s="127">
        <f t="shared" si="4"/>
        <v>10000</v>
      </c>
      <c r="AC16" s="119"/>
      <c r="AD16" s="87" t="s">
        <v>44</v>
      </c>
      <c r="AE16" s="125">
        <f>$G$85</f>
        <v>2500</v>
      </c>
      <c r="AF16" s="124">
        <v>4.0</v>
      </c>
      <c r="AG16" s="127">
        <f t="shared" si="5"/>
        <v>10000</v>
      </c>
      <c r="AH16" s="119"/>
      <c r="AI16" s="87" t="s">
        <v>44</v>
      </c>
      <c r="AJ16" s="125">
        <f>$G$85</f>
        <v>2500</v>
      </c>
      <c r="AK16" s="124">
        <v>6.0</v>
      </c>
      <c r="AL16" s="127">
        <f t="shared" si="6"/>
        <v>15000</v>
      </c>
      <c r="AM16" s="119"/>
      <c r="AN16" s="87" t="s">
        <v>44</v>
      </c>
      <c r="AO16" s="125">
        <f>$G$85</f>
        <v>2500</v>
      </c>
      <c r="AP16" s="124">
        <v>6.0</v>
      </c>
      <c r="AQ16" s="127">
        <f t="shared" si="7"/>
        <v>15000</v>
      </c>
    </row>
    <row r="17" ht="14.25" customHeight="1">
      <c r="A17" s="87"/>
      <c r="B17" s="129"/>
      <c r="C17" s="35">
        <v>106693.0</v>
      </c>
      <c r="D17" s="108" t="s">
        <v>73</v>
      </c>
      <c r="E17" s="82" t="s">
        <v>86</v>
      </c>
      <c r="F17" s="35" t="s">
        <v>85</v>
      </c>
      <c r="G17" s="83">
        <v>366652.631578947</v>
      </c>
      <c r="H17" s="87"/>
      <c r="I17" s="119"/>
      <c r="J17" s="87" t="s">
        <v>45</v>
      </c>
      <c r="K17" s="125">
        <f>$G$80</f>
        <v>496</v>
      </c>
      <c r="L17" s="126">
        <v>12.0</v>
      </c>
      <c r="M17" s="127">
        <f t="shared" si="1"/>
        <v>5952</v>
      </c>
      <c r="N17" s="119"/>
      <c r="O17" s="87" t="s">
        <v>45</v>
      </c>
      <c r="P17" s="125">
        <f>$G$80</f>
        <v>496</v>
      </c>
      <c r="Q17" s="126">
        <v>12.0</v>
      </c>
      <c r="R17" s="127">
        <f t="shared" si="2"/>
        <v>5952</v>
      </c>
      <c r="S17" s="119"/>
      <c r="T17" s="87" t="s">
        <v>45</v>
      </c>
      <c r="U17" s="125">
        <f>$G$80</f>
        <v>496</v>
      </c>
      <c r="V17" s="128">
        <v>22.0</v>
      </c>
      <c r="W17" s="127">
        <f t="shared" si="3"/>
        <v>10912</v>
      </c>
      <c r="X17" s="119"/>
      <c r="Y17" s="87" t="s">
        <v>45</v>
      </c>
      <c r="Z17" s="125">
        <f>$G$80</f>
        <v>496</v>
      </c>
      <c r="AA17" s="128">
        <v>22.0</v>
      </c>
      <c r="AB17" s="127">
        <f t="shared" si="4"/>
        <v>10912</v>
      </c>
      <c r="AC17" s="119"/>
      <c r="AD17" s="87" t="s">
        <v>45</v>
      </c>
      <c r="AE17" s="125">
        <f>$G$80</f>
        <v>496</v>
      </c>
      <c r="AF17" s="128">
        <v>24.0</v>
      </c>
      <c r="AG17" s="127">
        <f t="shared" si="5"/>
        <v>11904</v>
      </c>
      <c r="AH17" s="119"/>
      <c r="AI17" s="87" t="s">
        <v>45</v>
      </c>
      <c r="AJ17" s="125">
        <f>$G$80</f>
        <v>496</v>
      </c>
      <c r="AK17" s="128">
        <v>30.0</v>
      </c>
      <c r="AL17" s="127">
        <f t="shared" si="6"/>
        <v>14880</v>
      </c>
      <c r="AM17" s="119"/>
      <c r="AN17" s="87" t="s">
        <v>45</v>
      </c>
      <c r="AO17" s="125">
        <f>$G$80</f>
        <v>496</v>
      </c>
      <c r="AP17" s="128">
        <v>30.0</v>
      </c>
      <c r="AQ17" s="127">
        <f t="shared" si="7"/>
        <v>14880</v>
      </c>
    </row>
    <row r="18" ht="14.25" customHeight="1">
      <c r="A18" s="87"/>
      <c r="B18" s="129"/>
      <c r="C18" s="35">
        <v>106692.0</v>
      </c>
      <c r="D18" s="108" t="s">
        <v>73</v>
      </c>
      <c r="E18" s="82" t="s">
        <v>88</v>
      </c>
      <c r="F18" s="35" t="s">
        <v>87</v>
      </c>
      <c r="G18" s="83">
        <v>380800.0</v>
      </c>
      <c r="H18" s="87"/>
      <c r="I18" s="119"/>
      <c r="J18" s="87" t="s">
        <v>46</v>
      </c>
      <c r="K18" s="125">
        <f>$G$79</f>
        <v>496</v>
      </c>
      <c r="L18" s="126">
        <v>4.0</v>
      </c>
      <c r="M18" s="127">
        <f t="shared" si="1"/>
        <v>1984</v>
      </c>
      <c r="N18" s="119"/>
      <c r="O18" s="87" t="s">
        <v>46</v>
      </c>
      <c r="P18" s="125">
        <f>$G$79</f>
        <v>496</v>
      </c>
      <c r="Q18" s="126">
        <v>4.0</v>
      </c>
      <c r="R18" s="127">
        <f t="shared" si="2"/>
        <v>1984</v>
      </c>
      <c r="S18" s="119"/>
      <c r="T18" s="87" t="s">
        <v>46</v>
      </c>
      <c r="U18" s="125">
        <f>$G$79</f>
        <v>496</v>
      </c>
      <c r="V18" s="126">
        <v>4.0</v>
      </c>
      <c r="W18" s="127">
        <f t="shared" si="3"/>
        <v>1984</v>
      </c>
      <c r="X18" s="119"/>
      <c r="Y18" s="87" t="s">
        <v>46</v>
      </c>
      <c r="Z18" s="125">
        <f>$G$79</f>
        <v>496</v>
      </c>
      <c r="AA18" s="126">
        <v>4.0</v>
      </c>
      <c r="AB18" s="127">
        <f t="shared" si="4"/>
        <v>1984</v>
      </c>
      <c r="AC18" s="119"/>
      <c r="AD18" s="87" t="s">
        <v>46</v>
      </c>
      <c r="AE18" s="125">
        <f>$G$79</f>
        <v>496</v>
      </c>
      <c r="AF18" s="126">
        <v>8.0</v>
      </c>
      <c r="AG18" s="127">
        <f t="shared" si="5"/>
        <v>3968</v>
      </c>
      <c r="AH18" s="119"/>
      <c r="AI18" s="87" t="s">
        <v>46</v>
      </c>
      <c r="AJ18" s="125">
        <f>$G$79</f>
        <v>496</v>
      </c>
      <c r="AK18" s="126">
        <v>8.0</v>
      </c>
      <c r="AL18" s="127">
        <f t="shared" si="6"/>
        <v>3968</v>
      </c>
      <c r="AM18" s="119"/>
      <c r="AN18" s="87" t="s">
        <v>46</v>
      </c>
      <c r="AO18" s="125">
        <f>$G$79</f>
        <v>496</v>
      </c>
      <c r="AP18" s="126">
        <v>8.0</v>
      </c>
      <c r="AQ18" s="127">
        <f t="shared" si="7"/>
        <v>3968</v>
      </c>
    </row>
    <row r="19" ht="14.25" customHeight="1">
      <c r="A19" s="87"/>
      <c r="B19" s="129"/>
      <c r="C19" s="35">
        <v>106691.0</v>
      </c>
      <c r="D19" s="108" t="s">
        <v>73</v>
      </c>
      <c r="E19" s="82" t="s">
        <v>90</v>
      </c>
      <c r="F19" s="35" t="s">
        <v>89</v>
      </c>
      <c r="G19" s="83">
        <v>530526.315789474</v>
      </c>
      <c r="H19" s="87"/>
      <c r="I19" s="119"/>
      <c r="J19" s="87" t="s">
        <v>47</v>
      </c>
      <c r="K19" s="125">
        <f>$G$9</f>
        <v>680</v>
      </c>
      <c r="L19" s="126">
        <v>4.0</v>
      </c>
      <c r="M19" s="127">
        <f t="shared" si="1"/>
        <v>2720</v>
      </c>
      <c r="N19" s="119"/>
      <c r="O19" s="87" t="s">
        <v>47</v>
      </c>
      <c r="P19" s="125">
        <f>$G$9</f>
        <v>680</v>
      </c>
      <c r="Q19" s="126">
        <v>4.0</v>
      </c>
      <c r="R19" s="127">
        <f t="shared" si="2"/>
        <v>2720</v>
      </c>
      <c r="S19" s="119"/>
      <c r="T19" s="87" t="s">
        <v>47</v>
      </c>
      <c r="U19" s="125">
        <f>$G$9</f>
        <v>680</v>
      </c>
      <c r="V19" s="126">
        <v>4.0</v>
      </c>
      <c r="W19" s="127">
        <f t="shared" si="3"/>
        <v>2720</v>
      </c>
      <c r="X19" s="119"/>
      <c r="Y19" s="87" t="s">
        <v>47</v>
      </c>
      <c r="Z19" s="125">
        <f>$G$9</f>
        <v>680</v>
      </c>
      <c r="AA19" s="126">
        <v>4.0</v>
      </c>
      <c r="AB19" s="127">
        <f t="shared" si="4"/>
        <v>2720</v>
      </c>
      <c r="AC19" s="119"/>
      <c r="AD19" s="87" t="s">
        <v>47</v>
      </c>
      <c r="AE19" s="125">
        <f>$G$9</f>
        <v>680</v>
      </c>
      <c r="AF19" s="126">
        <v>8.0</v>
      </c>
      <c r="AG19" s="127">
        <f t="shared" si="5"/>
        <v>5440</v>
      </c>
      <c r="AH19" s="119"/>
      <c r="AI19" s="87" t="s">
        <v>47</v>
      </c>
      <c r="AJ19" s="125">
        <f>$G$9</f>
        <v>680</v>
      </c>
      <c r="AK19" s="126">
        <v>8.0</v>
      </c>
      <c r="AL19" s="127">
        <f t="shared" si="6"/>
        <v>5440</v>
      </c>
      <c r="AM19" s="119"/>
      <c r="AN19" s="87" t="s">
        <v>47</v>
      </c>
      <c r="AO19" s="125">
        <f>$G$9</f>
        <v>680</v>
      </c>
      <c r="AP19" s="128">
        <v>12.0</v>
      </c>
      <c r="AQ19" s="127">
        <f t="shared" si="7"/>
        <v>8160</v>
      </c>
    </row>
    <row r="20" ht="14.25" customHeight="1">
      <c r="A20" s="87"/>
      <c r="B20" s="129"/>
      <c r="C20" s="35">
        <v>106690.0</v>
      </c>
      <c r="D20" s="108" t="s">
        <v>73</v>
      </c>
      <c r="E20" s="82" t="s">
        <v>92</v>
      </c>
      <c r="F20" s="35" t="s">
        <v>91</v>
      </c>
      <c r="G20" s="83">
        <v>598500.0</v>
      </c>
      <c r="H20" s="87"/>
      <c r="I20" s="119"/>
      <c r="J20" s="87" t="s">
        <v>48</v>
      </c>
      <c r="K20" s="125">
        <f>$G$10</f>
        <v>680</v>
      </c>
      <c r="L20" s="126">
        <v>4.0</v>
      </c>
      <c r="M20" s="127">
        <f t="shared" si="1"/>
        <v>2720</v>
      </c>
      <c r="N20" s="119"/>
      <c r="O20" s="87" t="s">
        <v>48</v>
      </c>
      <c r="P20" s="125">
        <f>$G$10</f>
        <v>680</v>
      </c>
      <c r="Q20" s="126">
        <v>4.0</v>
      </c>
      <c r="R20" s="127">
        <f t="shared" si="2"/>
        <v>2720</v>
      </c>
      <c r="S20" s="119"/>
      <c r="T20" s="87" t="s">
        <v>48</v>
      </c>
      <c r="U20" s="125">
        <f>$G$10</f>
        <v>680</v>
      </c>
      <c r="V20" s="126">
        <v>4.0</v>
      </c>
      <c r="W20" s="127">
        <f t="shared" si="3"/>
        <v>2720</v>
      </c>
      <c r="X20" s="119"/>
      <c r="Y20" s="87" t="s">
        <v>48</v>
      </c>
      <c r="Z20" s="125">
        <f>$G$10</f>
        <v>680</v>
      </c>
      <c r="AA20" s="126">
        <v>4.0</v>
      </c>
      <c r="AB20" s="127">
        <f t="shared" si="4"/>
        <v>2720</v>
      </c>
      <c r="AC20" s="119"/>
      <c r="AD20" s="87" t="s">
        <v>48</v>
      </c>
      <c r="AE20" s="125">
        <f>$G$10</f>
        <v>680</v>
      </c>
      <c r="AF20" s="126">
        <v>8.0</v>
      </c>
      <c r="AG20" s="127">
        <f t="shared" si="5"/>
        <v>5440</v>
      </c>
      <c r="AH20" s="119"/>
      <c r="AI20" s="87" t="s">
        <v>48</v>
      </c>
      <c r="AJ20" s="125">
        <f>$G$10</f>
        <v>680</v>
      </c>
      <c r="AK20" s="126">
        <v>8.0</v>
      </c>
      <c r="AL20" s="127">
        <f t="shared" si="6"/>
        <v>5440</v>
      </c>
      <c r="AM20" s="119"/>
      <c r="AN20" s="87" t="s">
        <v>48</v>
      </c>
      <c r="AO20" s="125">
        <f>$G$10</f>
        <v>680</v>
      </c>
      <c r="AP20" s="128">
        <v>12.0</v>
      </c>
      <c r="AQ20" s="127">
        <f t="shared" si="7"/>
        <v>8160</v>
      </c>
    </row>
    <row r="21" ht="14.25" customHeight="1">
      <c r="A21" s="87"/>
      <c r="B21" s="129"/>
      <c r="C21" s="35">
        <v>106689.0</v>
      </c>
      <c r="D21" s="108" t="s">
        <v>73</v>
      </c>
      <c r="E21" s="82" t="s">
        <v>94</v>
      </c>
      <c r="F21" s="35" t="s">
        <v>93</v>
      </c>
      <c r="G21" s="83">
        <v>637000.0</v>
      </c>
      <c r="H21" s="87"/>
      <c r="I21" s="119"/>
      <c r="J21" s="87" t="s">
        <v>49</v>
      </c>
      <c r="K21" s="125">
        <f>$H$96</f>
        <v>947.85</v>
      </c>
      <c r="L21" s="126">
        <v>30.0</v>
      </c>
      <c r="M21" s="127">
        <f t="shared" si="1"/>
        <v>28435.5</v>
      </c>
      <c r="N21" s="119"/>
      <c r="O21" s="87" t="s">
        <v>49</v>
      </c>
      <c r="P21" s="125">
        <f t="shared" ref="P21:P22" si="8">$H$96</f>
        <v>947.85</v>
      </c>
      <c r="Q21" s="126">
        <v>30.0</v>
      </c>
      <c r="R21" s="127">
        <f t="shared" si="2"/>
        <v>28435.5</v>
      </c>
      <c r="S21" s="119"/>
      <c r="T21" s="87" t="s">
        <v>49</v>
      </c>
      <c r="U21" s="125">
        <f t="shared" ref="U21:U22" si="9">$H$96</f>
        <v>947.85</v>
      </c>
      <c r="V21" s="126">
        <v>30.0</v>
      </c>
      <c r="W21" s="127">
        <f t="shared" si="3"/>
        <v>28435.5</v>
      </c>
      <c r="X21" s="119"/>
      <c r="Y21" s="87" t="s">
        <v>49</v>
      </c>
      <c r="Z21" s="125">
        <f t="shared" ref="Z21:Z22" si="10">$H$96</f>
        <v>947.85</v>
      </c>
      <c r="AA21" s="126">
        <v>30.0</v>
      </c>
      <c r="AB21" s="127">
        <f t="shared" si="4"/>
        <v>28435.5</v>
      </c>
      <c r="AC21" s="119"/>
      <c r="AD21" s="87" t="s">
        <v>49</v>
      </c>
      <c r="AE21" s="125">
        <f t="shared" ref="AE21:AE22" si="11">$H$96</f>
        <v>947.85</v>
      </c>
      <c r="AF21" s="126">
        <v>30.0</v>
      </c>
      <c r="AG21" s="127">
        <f t="shared" si="5"/>
        <v>28435.5</v>
      </c>
      <c r="AH21" s="119"/>
      <c r="AI21" s="87" t="s">
        <v>49</v>
      </c>
      <c r="AJ21" s="125">
        <f t="shared" ref="AJ21:AJ22" si="12">$H$96</f>
        <v>947.85</v>
      </c>
      <c r="AK21" s="126">
        <v>30.0</v>
      </c>
      <c r="AL21" s="127">
        <f t="shared" si="6"/>
        <v>28435.5</v>
      </c>
      <c r="AM21" s="119"/>
      <c r="AN21" s="87" t="s">
        <v>49</v>
      </c>
      <c r="AO21" s="125">
        <f t="shared" ref="AO21:AO22" si="13">$H$96</f>
        <v>947.85</v>
      </c>
      <c r="AP21" s="126">
        <v>30.0</v>
      </c>
      <c r="AQ21" s="127">
        <f t="shared" si="7"/>
        <v>28435.5</v>
      </c>
    </row>
    <row r="22" ht="14.25" customHeight="1">
      <c r="A22" s="87"/>
      <c r="B22" s="129"/>
      <c r="C22" s="35">
        <v>106688.0</v>
      </c>
      <c r="D22" s="108" t="s">
        <v>73</v>
      </c>
      <c r="E22" s="82" t="s">
        <v>96</v>
      </c>
      <c r="F22" s="35" t="s">
        <v>95</v>
      </c>
      <c r="G22" s="83">
        <v>807130.434782609</v>
      </c>
      <c r="H22" s="87"/>
      <c r="I22" s="119"/>
      <c r="J22" s="87" t="s">
        <v>50</v>
      </c>
      <c r="K22" s="125">
        <f>H96</f>
        <v>947.85</v>
      </c>
      <c r="L22" s="126">
        <v>30.0</v>
      </c>
      <c r="M22" s="127">
        <f t="shared" si="1"/>
        <v>28435.5</v>
      </c>
      <c r="N22" s="119"/>
      <c r="O22" s="87" t="s">
        <v>50</v>
      </c>
      <c r="P22" s="125">
        <f t="shared" si="8"/>
        <v>947.85</v>
      </c>
      <c r="Q22" s="126">
        <v>30.0</v>
      </c>
      <c r="R22" s="127">
        <f t="shared" si="2"/>
        <v>28435.5</v>
      </c>
      <c r="S22" s="119"/>
      <c r="T22" s="87" t="s">
        <v>50</v>
      </c>
      <c r="U22" s="125">
        <f t="shared" si="9"/>
        <v>947.85</v>
      </c>
      <c r="V22" s="126">
        <v>30.0</v>
      </c>
      <c r="W22" s="127">
        <f t="shared" si="3"/>
        <v>28435.5</v>
      </c>
      <c r="X22" s="119"/>
      <c r="Y22" s="87" t="s">
        <v>50</v>
      </c>
      <c r="Z22" s="125">
        <f t="shared" si="10"/>
        <v>947.85</v>
      </c>
      <c r="AA22" s="126">
        <v>30.0</v>
      </c>
      <c r="AB22" s="127">
        <f t="shared" si="4"/>
        <v>28435.5</v>
      </c>
      <c r="AC22" s="119"/>
      <c r="AD22" s="87" t="s">
        <v>50</v>
      </c>
      <c r="AE22" s="125">
        <f t="shared" si="11"/>
        <v>947.85</v>
      </c>
      <c r="AF22" s="126">
        <v>30.0</v>
      </c>
      <c r="AG22" s="127">
        <f t="shared" si="5"/>
        <v>28435.5</v>
      </c>
      <c r="AH22" s="119"/>
      <c r="AI22" s="87" t="s">
        <v>50</v>
      </c>
      <c r="AJ22" s="125">
        <f t="shared" si="12"/>
        <v>947.85</v>
      </c>
      <c r="AK22" s="126">
        <v>30.0</v>
      </c>
      <c r="AL22" s="127">
        <f t="shared" si="6"/>
        <v>28435.5</v>
      </c>
      <c r="AM22" s="119"/>
      <c r="AN22" s="87" t="s">
        <v>50</v>
      </c>
      <c r="AO22" s="125">
        <f t="shared" si="13"/>
        <v>947.85</v>
      </c>
      <c r="AP22" s="126">
        <v>30.0</v>
      </c>
      <c r="AQ22" s="127">
        <f t="shared" si="7"/>
        <v>28435.5</v>
      </c>
    </row>
    <row r="23" ht="14.25" customHeight="1">
      <c r="A23" s="87"/>
      <c r="B23" s="129"/>
      <c r="C23" s="35">
        <v>106687.0</v>
      </c>
      <c r="D23" s="108" t="s">
        <v>73</v>
      </c>
      <c r="E23" s="82" t="s">
        <v>98</v>
      </c>
      <c r="F23" s="35" t="s">
        <v>97</v>
      </c>
      <c r="G23" s="83">
        <v>1034600.0</v>
      </c>
      <c r="H23" s="87"/>
      <c r="I23" s="119"/>
      <c r="L23" s="87" t="s">
        <v>236</v>
      </c>
      <c r="M23" s="127">
        <f>SUM(M11:M22)</f>
        <v>2215552.707</v>
      </c>
      <c r="N23" s="119"/>
      <c r="Q23" s="87" t="s">
        <v>236</v>
      </c>
      <c r="R23" s="127">
        <f>SUM(R11:R22)</f>
        <v>2231376.707</v>
      </c>
      <c r="S23" s="119"/>
      <c r="V23" s="87" t="s">
        <v>236</v>
      </c>
      <c r="W23" s="127">
        <f>SUM(W11:W22)</f>
        <v>2682885.26</v>
      </c>
      <c r="X23" s="119"/>
      <c r="AA23" s="87" t="s">
        <v>236</v>
      </c>
      <c r="AB23" s="127">
        <f>SUM(AB11:AB22)</f>
        <v>2751961.556</v>
      </c>
      <c r="AC23" s="119"/>
      <c r="AF23" s="87" t="s">
        <v>236</v>
      </c>
      <c r="AG23" s="127">
        <f>SUM(AG11:AG22)</f>
        <v>4011549.317</v>
      </c>
      <c r="AH23" s="119"/>
      <c r="AK23" s="87" t="s">
        <v>236</v>
      </c>
      <c r="AL23" s="127">
        <f>SUM(AL11:AL22)</f>
        <v>4529941.122</v>
      </c>
      <c r="AM23" s="119"/>
      <c r="AP23" s="87" t="s">
        <v>236</v>
      </c>
      <c r="AQ23" s="127">
        <f>SUM(AQ11:AQ22)</f>
        <v>4647787.372</v>
      </c>
    </row>
    <row r="24" ht="14.25" customHeight="1">
      <c r="A24" s="87"/>
      <c r="B24" s="129"/>
      <c r="C24" s="35">
        <v>106686.0</v>
      </c>
      <c r="D24" s="108" t="s">
        <v>73</v>
      </c>
      <c r="E24" s="82" t="s">
        <v>100</v>
      </c>
      <c r="F24" s="35" t="s">
        <v>99</v>
      </c>
      <c r="G24" s="83">
        <v>1590000.0</v>
      </c>
      <c r="H24" s="87"/>
      <c r="I24" s="119"/>
      <c r="L24" s="87" t="s">
        <v>237</v>
      </c>
      <c r="M24" s="127">
        <f>M23*1.19</f>
        <v>2636507.722</v>
      </c>
      <c r="N24" s="119"/>
      <c r="Q24" s="87" t="s">
        <v>237</v>
      </c>
      <c r="R24" s="127">
        <f>R23*1.19</f>
        <v>2655338.282</v>
      </c>
      <c r="S24" s="119"/>
      <c r="V24" s="87" t="s">
        <v>237</v>
      </c>
      <c r="W24" s="127">
        <f>W23*1.19</f>
        <v>3192633.459</v>
      </c>
      <c r="X24" s="119"/>
      <c r="AA24" s="87" t="s">
        <v>237</v>
      </c>
      <c r="AB24" s="127">
        <f>AB23*1.19</f>
        <v>3274834.252</v>
      </c>
      <c r="AC24" s="119"/>
      <c r="AF24" s="87" t="s">
        <v>237</v>
      </c>
      <c r="AG24" s="127">
        <f>AG23*1.19</f>
        <v>4773743.687</v>
      </c>
      <c r="AH24" s="119"/>
      <c r="AK24" s="87" t="s">
        <v>237</v>
      </c>
      <c r="AL24" s="127">
        <f>AL23*1.19</f>
        <v>5390629.935</v>
      </c>
      <c r="AM24" s="119"/>
      <c r="AP24" s="87" t="s">
        <v>237</v>
      </c>
      <c r="AQ24" s="127">
        <f>AQ23*1.19</f>
        <v>5530866.973</v>
      </c>
    </row>
    <row r="25" ht="14.25" customHeight="1">
      <c r="A25" s="87"/>
      <c r="B25" s="129"/>
      <c r="C25" s="35">
        <v>107834.0</v>
      </c>
      <c r="D25" s="108" t="s">
        <v>73</v>
      </c>
      <c r="E25" s="82" t="s">
        <v>101</v>
      </c>
      <c r="F25" s="35" t="s">
        <v>99</v>
      </c>
      <c r="G25" s="83">
        <v>1527000.0</v>
      </c>
      <c r="H25" s="87"/>
      <c r="I25" s="119"/>
      <c r="L25" s="124" t="s">
        <v>238</v>
      </c>
      <c r="M25" s="127">
        <f>M23*0.25</f>
        <v>553888.1768</v>
      </c>
      <c r="N25" s="119"/>
      <c r="Q25" s="124" t="s">
        <v>238</v>
      </c>
      <c r="R25" s="127">
        <f>R23*0.25</f>
        <v>557844.1768</v>
      </c>
      <c r="S25" s="119"/>
      <c r="V25" s="124" t="s">
        <v>238</v>
      </c>
      <c r="W25" s="127">
        <f>W23*0.25</f>
        <v>670721.315</v>
      </c>
      <c r="X25" s="119"/>
      <c r="AA25" s="124" t="s">
        <v>238</v>
      </c>
      <c r="AB25" s="127">
        <f>AB23*0.25</f>
        <v>687990.3891</v>
      </c>
      <c r="AC25" s="119"/>
      <c r="AF25" s="124" t="s">
        <v>238</v>
      </c>
      <c r="AG25" s="127">
        <f>AG23*0.25</f>
        <v>1002887.329</v>
      </c>
      <c r="AH25" s="119"/>
      <c r="AK25" s="124" t="s">
        <v>238</v>
      </c>
      <c r="AL25" s="127">
        <f>AL23*0.25</f>
        <v>1132485.28</v>
      </c>
      <c r="AM25" s="119"/>
      <c r="AP25" s="124" t="s">
        <v>238</v>
      </c>
      <c r="AQ25" s="127">
        <f>AQ23*0.25</f>
        <v>1161946.843</v>
      </c>
    </row>
    <row r="26" ht="14.25" customHeight="1">
      <c r="A26" s="87"/>
      <c r="B26" s="129"/>
      <c r="C26" s="35">
        <v>106685.0</v>
      </c>
      <c r="D26" s="108" t="s">
        <v>73</v>
      </c>
      <c r="E26" s="82" t="s">
        <v>103</v>
      </c>
      <c r="F26" s="35" t="s">
        <v>102</v>
      </c>
      <c r="G26" s="83">
        <v>3575600.0</v>
      </c>
      <c r="H26" s="87"/>
      <c r="I26" s="135"/>
      <c r="J26" s="136"/>
      <c r="K26" s="136"/>
      <c r="L26" s="137" t="s">
        <v>239</v>
      </c>
      <c r="M26" s="138">
        <f>M24+M25</f>
        <v>3190395.899</v>
      </c>
      <c r="N26" s="135"/>
      <c r="O26" s="136"/>
      <c r="P26" s="136"/>
      <c r="Q26" s="137" t="s">
        <v>239</v>
      </c>
      <c r="R26" s="138">
        <f>R24+R25</f>
        <v>3213182.459</v>
      </c>
      <c r="S26" s="135"/>
      <c r="T26" s="136"/>
      <c r="U26" s="136"/>
      <c r="V26" s="137" t="s">
        <v>239</v>
      </c>
      <c r="W26" s="138">
        <f>W24+W25</f>
        <v>3863354.774</v>
      </c>
      <c r="X26" s="135"/>
      <c r="Y26" s="136"/>
      <c r="Z26" s="136"/>
      <c r="AA26" s="137" t="s">
        <v>239</v>
      </c>
      <c r="AB26" s="138">
        <f>AB24+AB25</f>
        <v>3962824.641</v>
      </c>
      <c r="AC26" s="135"/>
      <c r="AD26" s="136"/>
      <c r="AE26" s="136"/>
      <c r="AF26" s="137" t="s">
        <v>239</v>
      </c>
      <c r="AG26" s="138">
        <f>AG24+AG25</f>
        <v>5776631.017</v>
      </c>
      <c r="AH26" s="135"/>
      <c r="AI26" s="136"/>
      <c r="AJ26" s="136"/>
      <c r="AK26" s="137" t="s">
        <v>239</v>
      </c>
      <c r="AL26" s="138">
        <f>AL24+AL25</f>
        <v>6523115.216</v>
      </c>
      <c r="AM26" s="135"/>
      <c r="AN26" s="136"/>
      <c r="AO26" s="136"/>
      <c r="AP26" s="137" t="s">
        <v>239</v>
      </c>
      <c r="AQ26" s="138">
        <f>AQ24+AQ25</f>
        <v>6692813.816</v>
      </c>
    </row>
    <row r="27" ht="14.25" customHeight="1">
      <c r="A27" s="87"/>
      <c r="B27" s="129"/>
      <c r="C27" s="35">
        <v>107833.0</v>
      </c>
      <c r="D27" s="108" t="s">
        <v>73</v>
      </c>
      <c r="E27" s="87" t="s">
        <v>105</v>
      </c>
      <c r="F27" s="35" t="s">
        <v>104</v>
      </c>
      <c r="G27" s="83">
        <v>3117977.314814815</v>
      </c>
      <c r="H27" s="87"/>
      <c r="I27" s="87"/>
    </row>
    <row r="28" ht="14.25" customHeight="1">
      <c r="A28" s="87"/>
      <c r="B28" s="129"/>
      <c r="C28" s="35">
        <v>106799.0</v>
      </c>
      <c r="D28" s="108" t="s">
        <v>73</v>
      </c>
      <c r="E28" s="82" t="s">
        <v>107</v>
      </c>
      <c r="F28" s="35" t="s">
        <v>106</v>
      </c>
      <c r="G28" s="83">
        <v>1390200.0</v>
      </c>
      <c r="H28" s="87"/>
      <c r="I28" s="87"/>
    </row>
    <row r="29" ht="14.25" customHeight="1">
      <c r="A29" s="87"/>
      <c r="B29" s="129"/>
      <c r="C29" s="35">
        <v>106684.0</v>
      </c>
      <c r="D29" s="108" t="s">
        <v>73</v>
      </c>
      <c r="E29" s="82" t="s">
        <v>109</v>
      </c>
      <c r="F29" s="34" t="s">
        <v>108</v>
      </c>
      <c r="G29" s="83">
        <v>795200.0</v>
      </c>
      <c r="H29" s="87"/>
    </row>
    <row r="30" ht="14.25" customHeight="1">
      <c r="A30" s="87"/>
      <c r="B30" s="129"/>
      <c r="C30" s="139">
        <v>108055.0</v>
      </c>
      <c r="D30" s="108" t="s">
        <v>73</v>
      </c>
      <c r="E30" s="82" t="s">
        <v>111</v>
      </c>
      <c r="F30" s="35" t="s">
        <v>110</v>
      </c>
      <c r="G30" s="83">
        <v>811024.0</v>
      </c>
      <c r="H30" s="87"/>
    </row>
    <row r="31" ht="14.25" customHeight="1">
      <c r="A31" s="87"/>
      <c r="B31" s="129"/>
      <c r="C31" s="35">
        <v>106683.0</v>
      </c>
      <c r="D31" s="108" t="s">
        <v>73</v>
      </c>
      <c r="E31" s="82" t="s">
        <v>113</v>
      </c>
      <c r="F31" s="34" t="s">
        <v>112</v>
      </c>
      <c r="G31" s="83">
        <v>897259.699074074</v>
      </c>
      <c r="H31" s="87"/>
    </row>
    <row r="32" ht="14.25" customHeight="1">
      <c r="A32" s="87"/>
      <c r="B32" s="129"/>
      <c r="C32" s="35">
        <v>106682.0</v>
      </c>
      <c r="D32" s="82" t="s">
        <v>73</v>
      </c>
      <c r="E32" s="82" t="s">
        <v>115</v>
      </c>
      <c r="F32" s="35" t="s">
        <v>114</v>
      </c>
      <c r="G32" s="140">
        <v>966335.9953703703</v>
      </c>
      <c r="H32" s="87"/>
      <c r="I32" s="141" t="s">
        <v>240</v>
      </c>
      <c r="J32" s="99"/>
      <c r="K32" s="99"/>
      <c r="L32" s="99"/>
      <c r="M32" s="100"/>
      <c r="N32" s="141" t="s">
        <v>241</v>
      </c>
      <c r="O32" s="99"/>
      <c r="P32" s="99"/>
      <c r="Q32" s="99"/>
      <c r="R32" s="100"/>
      <c r="S32" s="142" t="s">
        <v>242</v>
      </c>
      <c r="T32" s="99"/>
      <c r="U32" s="99"/>
      <c r="V32" s="99"/>
      <c r="W32" s="100"/>
      <c r="X32" s="142" t="s">
        <v>243</v>
      </c>
      <c r="Y32" s="99"/>
      <c r="Z32" s="99"/>
      <c r="AA32" s="99"/>
      <c r="AB32" s="100"/>
      <c r="AC32" s="142" t="s">
        <v>244</v>
      </c>
      <c r="AD32" s="99"/>
      <c r="AE32" s="99"/>
      <c r="AF32" s="99"/>
      <c r="AG32" s="100"/>
      <c r="AH32" s="142" t="s">
        <v>245</v>
      </c>
      <c r="AI32" s="99"/>
      <c r="AJ32" s="99"/>
      <c r="AK32" s="99"/>
      <c r="AL32" s="100"/>
    </row>
    <row r="33" ht="14.25" customHeight="1">
      <c r="A33" s="87"/>
      <c r="B33" s="129"/>
      <c r="C33" s="122">
        <v>106681.0</v>
      </c>
      <c r="D33" s="108" t="s">
        <v>73</v>
      </c>
      <c r="E33" s="82" t="s">
        <v>117</v>
      </c>
      <c r="F33" s="122" t="s">
        <v>116</v>
      </c>
      <c r="G33" s="123">
        <v>1005813.0</v>
      </c>
      <c r="H33" s="97"/>
      <c r="I33" s="95"/>
      <c r="M33" s="101"/>
      <c r="N33" s="95"/>
      <c r="R33" s="101"/>
      <c r="S33" s="95"/>
      <c r="W33" s="101"/>
      <c r="X33" s="95"/>
      <c r="AB33" s="101"/>
      <c r="AC33" s="95"/>
      <c r="AG33" s="101"/>
      <c r="AH33" s="95"/>
      <c r="AL33" s="101"/>
    </row>
    <row r="34" ht="14.25" customHeight="1">
      <c r="A34" s="87"/>
      <c r="B34" s="129"/>
      <c r="C34" s="122">
        <v>107832.0</v>
      </c>
      <c r="D34" s="108" t="s">
        <v>73</v>
      </c>
      <c r="E34" s="82" t="s">
        <v>119</v>
      </c>
      <c r="F34" s="122" t="s">
        <v>118</v>
      </c>
      <c r="G34" s="123">
        <v>1043625.0</v>
      </c>
      <c r="H34" s="87"/>
      <c r="I34" s="103"/>
      <c r="J34" s="104"/>
      <c r="K34" s="104"/>
      <c r="L34" s="104"/>
      <c r="M34" s="105"/>
      <c r="N34" s="103"/>
      <c r="O34" s="104"/>
      <c r="P34" s="104"/>
      <c r="Q34" s="104"/>
      <c r="R34" s="105"/>
      <c r="S34" s="103"/>
      <c r="T34" s="104"/>
      <c r="U34" s="104"/>
      <c r="V34" s="104"/>
      <c r="W34" s="105"/>
      <c r="X34" s="103"/>
      <c r="Y34" s="104"/>
      <c r="Z34" s="104"/>
      <c r="AA34" s="104"/>
      <c r="AB34" s="105"/>
      <c r="AC34" s="103"/>
      <c r="AD34" s="104"/>
      <c r="AE34" s="104"/>
      <c r="AF34" s="104"/>
      <c r="AG34" s="105"/>
      <c r="AH34" s="103"/>
      <c r="AI34" s="104"/>
      <c r="AJ34" s="104"/>
      <c r="AK34" s="104"/>
      <c r="AL34" s="105"/>
    </row>
    <row r="35" ht="14.25" customHeight="1">
      <c r="A35" s="87"/>
      <c r="B35" s="129"/>
      <c r="C35" s="139">
        <v>108054.0</v>
      </c>
      <c r="D35" s="108" t="s">
        <v>73</v>
      </c>
      <c r="E35" s="82" t="s">
        <v>121</v>
      </c>
      <c r="F35" s="122" t="s">
        <v>120</v>
      </c>
      <c r="G35" s="123">
        <v>1156031.25</v>
      </c>
      <c r="H35" s="87"/>
      <c r="I35" s="112"/>
      <c r="J35" s="113"/>
      <c r="K35" s="99"/>
      <c r="L35" s="99"/>
      <c r="M35" s="100"/>
      <c r="N35" s="112"/>
      <c r="O35" s="113"/>
      <c r="P35" s="99"/>
      <c r="Q35" s="99"/>
      <c r="R35" s="100"/>
      <c r="S35" s="112"/>
      <c r="T35" s="113"/>
      <c r="U35" s="99"/>
      <c r="V35" s="99"/>
      <c r="W35" s="100"/>
      <c r="X35" s="112"/>
      <c r="Y35" s="113"/>
      <c r="Z35" s="99"/>
      <c r="AA35" s="99"/>
      <c r="AB35" s="100"/>
      <c r="AC35" s="112"/>
      <c r="AD35" s="113"/>
      <c r="AE35" s="99"/>
      <c r="AF35" s="99"/>
      <c r="AG35" s="100"/>
      <c r="AH35" s="112"/>
      <c r="AI35" s="113"/>
      <c r="AJ35" s="99"/>
      <c r="AK35" s="99"/>
      <c r="AL35" s="100"/>
    </row>
    <row r="36" ht="14.25" customHeight="1">
      <c r="A36" s="87"/>
      <c r="B36" s="129"/>
      <c r="C36" s="87">
        <v>107831.0</v>
      </c>
      <c r="D36" s="108" t="s">
        <v>73</v>
      </c>
      <c r="E36" s="87" t="s">
        <v>123</v>
      </c>
      <c r="F36" s="34" t="s">
        <v>122</v>
      </c>
      <c r="G36" s="123">
        <v>602874.3055555556</v>
      </c>
      <c r="H36" s="87"/>
      <c r="I36" s="119"/>
      <c r="L36" s="87" t="s">
        <v>221</v>
      </c>
      <c r="M36" s="120" t="s">
        <v>52</v>
      </c>
      <c r="N36" s="119"/>
      <c r="Q36" s="87" t="s">
        <v>221</v>
      </c>
      <c r="R36" s="120" t="s">
        <v>52</v>
      </c>
      <c r="S36" s="119"/>
      <c r="V36" s="87" t="s">
        <v>221</v>
      </c>
      <c r="W36" s="120" t="s">
        <v>52</v>
      </c>
      <c r="X36" s="119"/>
      <c r="AA36" s="87" t="s">
        <v>221</v>
      </c>
      <c r="AB36" s="120" t="s">
        <v>52</v>
      </c>
      <c r="AC36" s="119"/>
      <c r="AD36" s="87"/>
      <c r="AE36" s="87"/>
      <c r="AF36" s="87" t="s">
        <v>221</v>
      </c>
      <c r="AG36" s="120" t="s">
        <v>52</v>
      </c>
      <c r="AH36" s="119"/>
      <c r="AI36" s="87"/>
      <c r="AJ36" s="87"/>
      <c r="AK36" s="87" t="s">
        <v>221</v>
      </c>
      <c r="AL36" s="120" t="s">
        <v>52</v>
      </c>
    </row>
    <row r="37" ht="15.75" customHeight="1">
      <c r="A37" s="87"/>
      <c r="B37" s="129"/>
      <c r="C37" s="35">
        <v>107000.0</v>
      </c>
      <c r="D37" s="108" t="s">
        <v>73</v>
      </c>
      <c r="E37" s="82" t="s">
        <v>125</v>
      </c>
      <c r="F37" s="35" t="s">
        <v>124</v>
      </c>
      <c r="G37" s="83">
        <v>715432.0767195768</v>
      </c>
      <c r="H37" s="87"/>
      <c r="I37" s="119" t="s">
        <v>62</v>
      </c>
      <c r="J37" s="87" t="s">
        <v>225</v>
      </c>
      <c r="K37" s="125">
        <f>$G$6</f>
        <v>105690.9512</v>
      </c>
      <c r="L37" s="126">
        <v>6.0</v>
      </c>
      <c r="M37" s="127">
        <f t="shared" ref="M37:M47" si="14">K37*L37</f>
        <v>634145.7073</v>
      </c>
      <c r="N37" s="119" t="s">
        <v>62</v>
      </c>
      <c r="O37" s="87" t="s">
        <v>225</v>
      </c>
      <c r="P37" s="125">
        <f>$G$6</f>
        <v>105690.9512</v>
      </c>
      <c r="Q37" s="126">
        <v>6.0</v>
      </c>
      <c r="R37" s="127">
        <f t="shared" ref="R37:R47" si="15">P37*Q37</f>
        <v>634145.7073</v>
      </c>
      <c r="S37" s="119" t="s">
        <v>62</v>
      </c>
      <c r="T37" s="87" t="s">
        <v>225</v>
      </c>
      <c r="U37" s="125">
        <f>$G$6</f>
        <v>105690.9512</v>
      </c>
      <c r="V37" s="126">
        <v>9.0</v>
      </c>
      <c r="W37" s="127">
        <f t="shared" ref="W37:W47" si="16">U37*V37</f>
        <v>951218.561</v>
      </c>
      <c r="X37" s="119" t="s">
        <v>62</v>
      </c>
      <c r="Y37" s="87" t="s">
        <v>225</v>
      </c>
      <c r="Z37" s="125">
        <f>$G$6</f>
        <v>105690.9512</v>
      </c>
      <c r="AA37" s="126">
        <v>9.0</v>
      </c>
      <c r="AB37" s="127">
        <f t="shared" ref="AB37:AB47" si="17">Z37*AA37</f>
        <v>951218.561</v>
      </c>
      <c r="AC37" s="119" t="s">
        <v>62</v>
      </c>
      <c r="AD37" s="87" t="s">
        <v>225</v>
      </c>
      <c r="AE37" s="125">
        <f>$G$6</f>
        <v>105690.9512</v>
      </c>
      <c r="AF37" s="87">
        <v>14.0</v>
      </c>
      <c r="AG37" s="127">
        <f t="shared" ref="AG37:AG47" si="18">AE37*AF37</f>
        <v>1479673.317</v>
      </c>
      <c r="AH37" s="119" t="s">
        <v>62</v>
      </c>
      <c r="AI37" s="87" t="s">
        <v>225</v>
      </c>
      <c r="AJ37" s="125">
        <f>$G$6</f>
        <v>105690.9512</v>
      </c>
      <c r="AK37" s="87">
        <v>18.0</v>
      </c>
      <c r="AL37" s="127">
        <f t="shared" ref="AL37:AL47" si="19">AJ37*AK37</f>
        <v>1902437.122</v>
      </c>
    </row>
    <row r="38" ht="14.25" customHeight="1">
      <c r="A38" s="87"/>
      <c r="B38" s="129"/>
      <c r="C38" s="35">
        <v>106999.0</v>
      </c>
      <c r="D38" s="108" t="s">
        <v>73</v>
      </c>
      <c r="E38" s="82" t="s">
        <v>127</v>
      </c>
      <c r="F38" s="35" t="s">
        <v>126</v>
      </c>
      <c r="G38" s="83">
        <v>794387.037037037</v>
      </c>
      <c r="H38" s="87"/>
      <c r="I38" s="119"/>
      <c r="J38" s="87" t="s">
        <v>84</v>
      </c>
      <c r="K38" s="125">
        <f>$G$16</f>
        <v>325389.4737</v>
      </c>
      <c r="L38" s="126">
        <v>1.0</v>
      </c>
      <c r="M38" s="127">
        <f t="shared" si="14"/>
        <v>325389.4737</v>
      </c>
      <c r="N38" s="119" t="s">
        <v>85</v>
      </c>
      <c r="O38" s="124" t="s">
        <v>86</v>
      </c>
      <c r="P38" s="125">
        <v>366652.631578947</v>
      </c>
      <c r="Q38" s="126">
        <v>1.0</v>
      </c>
      <c r="R38" s="127">
        <f t="shared" si="15"/>
        <v>366652.6316</v>
      </c>
      <c r="S38" s="119"/>
      <c r="T38" s="87" t="s">
        <v>88</v>
      </c>
      <c r="U38" s="125">
        <f>$G$18</f>
        <v>380800</v>
      </c>
      <c r="V38" s="126">
        <v>1.0</v>
      </c>
      <c r="W38" s="127">
        <f t="shared" si="16"/>
        <v>380800</v>
      </c>
      <c r="X38" s="119" t="s">
        <v>89</v>
      </c>
      <c r="Y38" s="87" t="s">
        <v>90</v>
      </c>
      <c r="Z38" s="125">
        <v>530526.315789474</v>
      </c>
      <c r="AA38" s="126">
        <v>1.0</v>
      </c>
      <c r="AB38" s="127">
        <f t="shared" si="17"/>
        <v>530526.3158</v>
      </c>
      <c r="AC38" s="119"/>
      <c r="AD38" s="87" t="s">
        <v>92</v>
      </c>
      <c r="AE38" s="125">
        <f>$G$20</f>
        <v>598500</v>
      </c>
      <c r="AF38" s="87">
        <v>1.0</v>
      </c>
      <c r="AG38" s="127">
        <f t="shared" si="18"/>
        <v>598500</v>
      </c>
      <c r="AH38" s="119"/>
      <c r="AI38" s="87" t="s">
        <v>94</v>
      </c>
      <c r="AJ38" s="125">
        <v>637000.0</v>
      </c>
      <c r="AK38" s="87">
        <v>1.0</v>
      </c>
      <c r="AL38" s="127">
        <f t="shared" si="19"/>
        <v>637000</v>
      </c>
    </row>
    <row r="39" ht="14.25" customHeight="1">
      <c r="A39" s="87"/>
      <c r="B39" s="129"/>
      <c r="C39" s="35">
        <v>107830.0</v>
      </c>
      <c r="D39" s="108" t="s">
        <v>73</v>
      </c>
      <c r="E39" s="108" t="s">
        <v>129</v>
      </c>
      <c r="F39" s="35" t="s">
        <v>128</v>
      </c>
      <c r="G39" s="83">
        <v>924234.829059829</v>
      </c>
      <c r="H39" s="87"/>
      <c r="I39" s="143"/>
      <c r="J39" s="87" t="s">
        <v>42</v>
      </c>
      <c r="K39" s="125">
        <f>$G$82</f>
        <v>18320</v>
      </c>
      <c r="L39" s="126">
        <v>3.0</v>
      </c>
      <c r="M39" s="127">
        <f t="shared" si="14"/>
        <v>54960</v>
      </c>
      <c r="N39" s="143"/>
      <c r="O39" s="87" t="s">
        <v>42</v>
      </c>
      <c r="P39" s="125">
        <f>$G$82</f>
        <v>18320</v>
      </c>
      <c r="Q39" s="126">
        <v>3.0</v>
      </c>
      <c r="R39" s="127">
        <f t="shared" si="15"/>
        <v>54960</v>
      </c>
      <c r="S39" s="144"/>
      <c r="T39" s="87" t="s">
        <v>42</v>
      </c>
      <c r="U39" s="125">
        <f>$G$82</f>
        <v>18320</v>
      </c>
      <c r="V39" s="128">
        <v>5.0</v>
      </c>
      <c r="W39" s="127">
        <f t="shared" si="16"/>
        <v>91600</v>
      </c>
      <c r="X39" s="144"/>
      <c r="Y39" s="87" t="s">
        <v>42</v>
      </c>
      <c r="Z39" s="125">
        <f>$G$82</f>
        <v>18320</v>
      </c>
      <c r="AA39" s="128">
        <v>5.0</v>
      </c>
      <c r="AB39" s="127">
        <f t="shared" si="17"/>
        <v>91600</v>
      </c>
      <c r="AC39" s="144"/>
      <c r="AD39" s="87" t="s">
        <v>42</v>
      </c>
      <c r="AE39" s="125">
        <f>$G$82</f>
        <v>18320</v>
      </c>
      <c r="AF39" s="126">
        <v>7.0</v>
      </c>
      <c r="AG39" s="127">
        <f t="shared" si="18"/>
        <v>128240</v>
      </c>
      <c r="AH39" s="144"/>
      <c r="AI39" s="87" t="s">
        <v>42</v>
      </c>
      <c r="AJ39" s="125">
        <f>$G$82</f>
        <v>18320</v>
      </c>
      <c r="AK39" s="128">
        <v>9.0</v>
      </c>
      <c r="AL39" s="127">
        <f t="shared" si="19"/>
        <v>164880</v>
      </c>
    </row>
    <row r="40" ht="14.25" customHeight="1">
      <c r="A40" s="87"/>
      <c r="B40" s="129"/>
      <c r="C40" s="35">
        <v>106997.0</v>
      </c>
      <c r="D40" s="108" t="s">
        <v>73</v>
      </c>
      <c r="E40" s="82" t="s">
        <v>131</v>
      </c>
      <c r="F40" s="35" t="s">
        <v>130</v>
      </c>
      <c r="G40" s="83">
        <v>926830.4166666667</v>
      </c>
      <c r="H40" s="87"/>
      <c r="I40" s="143"/>
      <c r="J40" s="87" t="s">
        <v>43</v>
      </c>
      <c r="K40" s="125">
        <f>$G$69</f>
        <v>1100</v>
      </c>
      <c r="L40" s="126">
        <v>10.0</v>
      </c>
      <c r="M40" s="127">
        <f t="shared" si="14"/>
        <v>11000</v>
      </c>
      <c r="N40" s="143"/>
      <c r="O40" s="87" t="s">
        <v>43</v>
      </c>
      <c r="P40" s="125">
        <f>$G$69</f>
        <v>1100</v>
      </c>
      <c r="Q40" s="126">
        <v>10.0</v>
      </c>
      <c r="R40" s="127">
        <f t="shared" si="15"/>
        <v>11000</v>
      </c>
      <c r="S40" s="144"/>
      <c r="T40" s="87" t="s">
        <v>43</v>
      </c>
      <c r="U40" s="125">
        <f>$G$69</f>
        <v>1100</v>
      </c>
      <c r="V40" s="128">
        <v>16.0</v>
      </c>
      <c r="W40" s="127">
        <f t="shared" si="16"/>
        <v>17600</v>
      </c>
      <c r="X40" s="144"/>
      <c r="Y40" s="87" t="s">
        <v>43</v>
      </c>
      <c r="Z40" s="125">
        <f>$G$69</f>
        <v>1100</v>
      </c>
      <c r="AA40" s="128">
        <v>16.0</v>
      </c>
      <c r="AB40" s="127">
        <f t="shared" si="17"/>
        <v>17600</v>
      </c>
      <c r="AC40" s="144"/>
      <c r="AD40" s="87" t="s">
        <v>43</v>
      </c>
      <c r="AE40" s="125">
        <f>$G$69</f>
        <v>1100</v>
      </c>
      <c r="AF40" s="126">
        <v>22.0</v>
      </c>
      <c r="AG40" s="127">
        <f t="shared" si="18"/>
        <v>24200</v>
      </c>
      <c r="AH40" s="144"/>
      <c r="AI40" s="87" t="s">
        <v>43</v>
      </c>
      <c r="AJ40" s="125">
        <f>$G$69</f>
        <v>1100</v>
      </c>
      <c r="AK40" s="128">
        <v>34.0</v>
      </c>
      <c r="AL40" s="127">
        <f t="shared" si="19"/>
        <v>37400</v>
      </c>
    </row>
    <row r="41" ht="14.25" customHeight="1">
      <c r="A41" s="87"/>
      <c r="B41" s="129"/>
      <c r="C41" s="35">
        <v>106996.0</v>
      </c>
      <c r="D41" s="108" t="s">
        <v>73</v>
      </c>
      <c r="E41" s="82" t="s">
        <v>133</v>
      </c>
      <c r="F41" s="35" t="s">
        <v>132</v>
      </c>
      <c r="G41" s="83">
        <v>904047.4206349206</v>
      </c>
      <c r="H41" s="87"/>
      <c r="I41" s="143"/>
      <c r="J41" s="87" t="s">
        <v>44</v>
      </c>
      <c r="K41" s="125">
        <f>$G$85</f>
        <v>2500</v>
      </c>
      <c r="L41" s="124">
        <v>2.0</v>
      </c>
      <c r="M41" s="127">
        <f t="shared" si="14"/>
        <v>5000</v>
      </c>
      <c r="N41" s="143"/>
      <c r="O41" s="87" t="s">
        <v>44</v>
      </c>
      <c r="P41" s="125">
        <f>$G$85</f>
        <v>2500</v>
      </c>
      <c r="Q41" s="124">
        <v>2.0</v>
      </c>
      <c r="R41" s="127">
        <f t="shared" si="15"/>
        <v>5000</v>
      </c>
      <c r="S41" s="144"/>
      <c r="T41" s="87" t="s">
        <v>44</v>
      </c>
      <c r="U41" s="125">
        <f>$G$85</f>
        <v>2500</v>
      </c>
      <c r="V41" s="87">
        <v>4.0</v>
      </c>
      <c r="W41" s="127">
        <f t="shared" si="16"/>
        <v>10000</v>
      </c>
      <c r="X41" s="144"/>
      <c r="Y41" s="87" t="s">
        <v>44</v>
      </c>
      <c r="Z41" s="125">
        <f>$G$85</f>
        <v>2500</v>
      </c>
      <c r="AA41" s="87">
        <v>4.0</v>
      </c>
      <c r="AB41" s="127">
        <f t="shared" si="17"/>
        <v>10000</v>
      </c>
      <c r="AC41" s="144"/>
      <c r="AD41" s="87" t="s">
        <v>44</v>
      </c>
      <c r="AE41" s="125">
        <f>$G$85</f>
        <v>2500</v>
      </c>
      <c r="AF41" s="124">
        <v>4.0</v>
      </c>
      <c r="AG41" s="127">
        <f t="shared" si="18"/>
        <v>10000</v>
      </c>
      <c r="AH41" s="144"/>
      <c r="AI41" s="87" t="s">
        <v>44</v>
      </c>
      <c r="AJ41" s="125">
        <f>$G$85</f>
        <v>2500</v>
      </c>
      <c r="AK41" s="124">
        <v>6.0</v>
      </c>
      <c r="AL41" s="127">
        <f t="shared" si="19"/>
        <v>15000</v>
      </c>
    </row>
    <row r="42" ht="14.25" customHeight="1">
      <c r="A42" s="87"/>
      <c r="B42" s="129"/>
      <c r="C42" s="87">
        <v>107829.0</v>
      </c>
      <c r="D42" s="108" t="s">
        <v>73</v>
      </c>
      <c r="E42" s="87" t="s">
        <v>135</v>
      </c>
      <c r="F42" s="35" t="s">
        <v>134</v>
      </c>
      <c r="G42" s="83">
        <v>1711270.8333333335</v>
      </c>
      <c r="H42" s="87"/>
      <c r="I42" s="143"/>
      <c r="J42" s="87" t="s">
        <v>45</v>
      </c>
      <c r="K42" s="125">
        <f>$G$80</f>
        <v>496</v>
      </c>
      <c r="L42" s="126">
        <v>12.0</v>
      </c>
      <c r="M42" s="127">
        <f t="shared" si="14"/>
        <v>5952</v>
      </c>
      <c r="N42" s="143"/>
      <c r="O42" s="87" t="s">
        <v>45</v>
      </c>
      <c r="P42" s="125">
        <f>$G$80</f>
        <v>496</v>
      </c>
      <c r="Q42" s="126">
        <v>12.0</v>
      </c>
      <c r="R42" s="127">
        <f t="shared" si="15"/>
        <v>5952</v>
      </c>
      <c r="S42" s="144"/>
      <c r="T42" s="87" t="s">
        <v>45</v>
      </c>
      <c r="U42" s="125">
        <f>$G$80</f>
        <v>496</v>
      </c>
      <c r="V42" s="128">
        <v>22.0</v>
      </c>
      <c r="W42" s="127">
        <f t="shared" si="16"/>
        <v>10912</v>
      </c>
      <c r="X42" s="144"/>
      <c r="Y42" s="87" t="s">
        <v>45</v>
      </c>
      <c r="Z42" s="125">
        <f>$G$80</f>
        <v>496</v>
      </c>
      <c r="AA42" s="128">
        <v>22.0</v>
      </c>
      <c r="AB42" s="127">
        <f t="shared" si="17"/>
        <v>10912</v>
      </c>
      <c r="AC42" s="144"/>
      <c r="AD42" s="87" t="s">
        <v>45</v>
      </c>
      <c r="AE42" s="125">
        <f>$G$80</f>
        <v>496</v>
      </c>
      <c r="AF42" s="128">
        <v>24.0</v>
      </c>
      <c r="AG42" s="127">
        <f t="shared" si="18"/>
        <v>11904</v>
      </c>
      <c r="AH42" s="144"/>
      <c r="AI42" s="87" t="s">
        <v>45</v>
      </c>
      <c r="AJ42" s="125">
        <f>$G$80</f>
        <v>496</v>
      </c>
      <c r="AK42" s="128">
        <v>30.0</v>
      </c>
      <c r="AL42" s="127">
        <f t="shared" si="19"/>
        <v>14880</v>
      </c>
    </row>
    <row r="43" ht="14.25" customHeight="1">
      <c r="A43" s="87"/>
      <c r="B43" s="129"/>
      <c r="C43" s="35">
        <v>106995.0</v>
      </c>
      <c r="D43" s="108" t="s">
        <v>73</v>
      </c>
      <c r="E43" s="82" t="s">
        <v>137</v>
      </c>
      <c r="F43" s="35" t="s">
        <v>136</v>
      </c>
      <c r="G43" s="83">
        <v>1953419.4444444445</v>
      </c>
      <c r="H43" s="87"/>
      <c r="I43" s="143"/>
      <c r="J43" s="87" t="s">
        <v>46</v>
      </c>
      <c r="K43" s="125">
        <f>$G$79</f>
        <v>496</v>
      </c>
      <c r="L43" s="126">
        <v>4.0</v>
      </c>
      <c r="M43" s="127">
        <f t="shared" si="14"/>
        <v>1984</v>
      </c>
      <c r="N43" s="143"/>
      <c r="O43" s="87" t="s">
        <v>46</v>
      </c>
      <c r="P43" s="125">
        <f>$G$79</f>
        <v>496</v>
      </c>
      <c r="Q43" s="126">
        <v>4.0</v>
      </c>
      <c r="R43" s="127">
        <f t="shared" si="15"/>
        <v>1984</v>
      </c>
      <c r="S43" s="144"/>
      <c r="T43" s="87" t="s">
        <v>46</v>
      </c>
      <c r="U43" s="125">
        <f>$G$79</f>
        <v>496</v>
      </c>
      <c r="V43" s="126">
        <v>4.0</v>
      </c>
      <c r="W43" s="127">
        <f t="shared" si="16"/>
        <v>1984</v>
      </c>
      <c r="X43" s="144"/>
      <c r="Y43" s="87" t="s">
        <v>46</v>
      </c>
      <c r="Z43" s="125">
        <f>$G$79</f>
        <v>496</v>
      </c>
      <c r="AA43" s="126">
        <v>4.0</v>
      </c>
      <c r="AB43" s="127">
        <f t="shared" si="17"/>
        <v>1984</v>
      </c>
      <c r="AC43" s="144"/>
      <c r="AD43" s="87" t="s">
        <v>46</v>
      </c>
      <c r="AE43" s="125">
        <f>$G$79</f>
        <v>496</v>
      </c>
      <c r="AF43" s="126">
        <v>8.0</v>
      </c>
      <c r="AG43" s="127">
        <f t="shared" si="18"/>
        <v>3968</v>
      </c>
      <c r="AH43" s="144"/>
      <c r="AI43" s="87" t="s">
        <v>46</v>
      </c>
      <c r="AJ43" s="125">
        <f>$G$79</f>
        <v>496</v>
      </c>
      <c r="AK43" s="126">
        <v>8.0</v>
      </c>
      <c r="AL43" s="127">
        <f t="shared" si="19"/>
        <v>3968</v>
      </c>
    </row>
    <row r="44" ht="14.25" customHeight="1">
      <c r="A44" s="87"/>
      <c r="B44" s="129"/>
      <c r="C44" s="35">
        <v>106994.0</v>
      </c>
      <c r="D44" s="108" t="s">
        <v>73</v>
      </c>
      <c r="E44" s="82" t="s">
        <v>139</v>
      </c>
      <c r="F44" s="35" t="s">
        <v>138</v>
      </c>
      <c r="G44" s="83">
        <v>2042038.888888889</v>
      </c>
      <c r="H44" s="87"/>
      <c r="I44" s="119"/>
      <c r="J44" s="87" t="s">
        <v>47</v>
      </c>
      <c r="K44" s="125">
        <f>$G$9</f>
        <v>680</v>
      </c>
      <c r="L44" s="126">
        <v>4.0</v>
      </c>
      <c r="M44" s="127">
        <f t="shared" si="14"/>
        <v>2720</v>
      </c>
      <c r="N44" s="119"/>
      <c r="O44" s="87" t="s">
        <v>47</v>
      </c>
      <c r="P44" s="125">
        <f>$G$9</f>
        <v>680</v>
      </c>
      <c r="Q44" s="126">
        <v>4.0</v>
      </c>
      <c r="R44" s="127">
        <f t="shared" si="15"/>
        <v>2720</v>
      </c>
      <c r="S44" s="119"/>
      <c r="T44" s="87" t="s">
        <v>47</v>
      </c>
      <c r="U44" s="125">
        <f>$G$9</f>
        <v>680</v>
      </c>
      <c r="V44" s="126">
        <v>4.0</v>
      </c>
      <c r="W44" s="127">
        <f t="shared" si="16"/>
        <v>2720</v>
      </c>
      <c r="X44" s="119"/>
      <c r="Y44" s="87" t="s">
        <v>47</v>
      </c>
      <c r="Z44" s="125">
        <f>$G$9</f>
        <v>680</v>
      </c>
      <c r="AA44" s="126">
        <v>4.0</v>
      </c>
      <c r="AB44" s="127">
        <f t="shared" si="17"/>
        <v>2720</v>
      </c>
      <c r="AC44" s="119"/>
      <c r="AD44" s="87" t="s">
        <v>47</v>
      </c>
      <c r="AE44" s="125">
        <f>$G$9</f>
        <v>680</v>
      </c>
      <c r="AF44" s="126">
        <v>8.0</v>
      </c>
      <c r="AG44" s="127">
        <f t="shared" si="18"/>
        <v>5440</v>
      </c>
      <c r="AH44" s="119"/>
      <c r="AI44" s="87" t="s">
        <v>47</v>
      </c>
      <c r="AJ44" s="125">
        <f>$G$9</f>
        <v>680</v>
      </c>
      <c r="AK44" s="126">
        <v>8.0</v>
      </c>
      <c r="AL44" s="127">
        <f t="shared" si="19"/>
        <v>5440</v>
      </c>
    </row>
    <row r="45" ht="14.25" customHeight="1">
      <c r="A45" s="87"/>
      <c r="B45" s="129"/>
      <c r="C45" s="35">
        <v>108058.0</v>
      </c>
      <c r="D45" s="108" t="s">
        <v>73</v>
      </c>
      <c r="E45" s="82" t="s">
        <v>141</v>
      </c>
      <c r="F45" s="35" t="s">
        <v>140</v>
      </c>
      <c r="G45" s="83">
        <v>3044370.0</v>
      </c>
      <c r="H45" s="87"/>
      <c r="I45" s="119"/>
      <c r="J45" s="87" t="s">
        <v>48</v>
      </c>
      <c r="K45" s="125">
        <f>$G$10</f>
        <v>680</v>
      </c>
      <c r="L45" s="126">
        <v>4.0</v>
      </c>
      <c r="M45" s="127">
        <f t="shared" si="14"/>
        <v>2720</v>
      </c>
      <c r="N45" s="119"/>
      <c r="O45" s="87" t="s">
        <v>48</v>
      </c>
      <c r="P45" s="125">
        <f>$G$10</f>
        <v>680</v>
      </c>
      <c r="Q45" s="126">
        <v>4.0</v>
      </c>
      <c r="R45" s="127">
        <f t="shared" si="15"/>
        <v>2720</v>
      </c>
      <c r="S45" s="119"/>
      <c r="T45" s="87" t="s">
        <v>48</v>
      </c>
      <c r="U45" s="125">
        <f>$G$10</f>
        <v>680</v>
      </c>
      <c r="V45" s="126">
        <v>4.0</v>
      </c>
      <c r="W45" s="127">
        <f t="shared" si="16"/>
        <v>2720</v>
      </c>
      <c r="X45" s="119"/>
      <c r="Y45" s="87" t="s">
        <v>48</v>
      </c>
      <c r="Z45" s="125">
        <f>$G$10</f>
        <v>680</v>
      </c>
      <c r="AA45" s="126">
        <v>4.0</v>
      </c>
      <c r="AB45" s="127">
        <f t="shared" si="17"/>
        <v>2720</v>
      </c>
      <c r="AC45" s="119"/>
      <c r="AD45" s="87" t="s">
        <v>48</v>
      </c>
      <c r="AE45" s="125">
        <f>$G$10</f>
        <v>680</v>
      </c>
      <c r="AF45" s="126">
        <v>8.0</v>
      </c>
      <c r="AG45" s="127">
        <f t="shared" si="18"/>
        <v>5440</v>
      </c>
      <c r="AH45" s="119"/>
      <c r="AI45" s="87" t="s">
        <v>48</v>
      </c>
      <c r="AJ45" s="125">
        <f>$G$10</f>
        <v>680</v>
      </c>
      <c r="AK45" s="126">
        <v>8.0</v>
      </c>
      <c r="AL45" s="127">
        <f t="shared" si="19"/>
        <v>5440</v>
      </c>
    </row>
    <row r="46" ht="14.25" customHeight="1">
      <c r="A46" s="87"/>
      <c r="B46" s="129"/>
      <c r="C46" s="35">
        <v>106941.0</v>
      </c>
      <c r="D46" s="108" t="s">
        <v>73</v>
      </c>
      <c r="E46" s="82" t="s">
        <v>142</v>
      </c>
      <c r="F46" s="35" t="s">
        <v>140</v>
      </c>
      <c r="G46" s="83">
        <v>3016643.2539682537</v>
      </c>
      <c r="H46" s="87"/>
      <c r="I46" s="119"/>
      <c r="J46" s="87" t="s">
        <v>49</v>
      </c>
      <c r="K46" s="125">
        <f t="shared" ref="K46:K47" si="20">$H$96</f>
        <v>947.85</v>
      </c>
      <c r="L46" s="126">
        <v>30.0</v>
      </c>
      <c r="M46" s="127">
        <f t="shared" si="14"/>
        <v>28435.5</v>
      </c>
      <c r="N46" s="119"/>
      <c r="O46" s="87" t="s">
        <v>49</v>
      </c>
      <c r="P46" s="125">
        <f t="shared" ref="P46:P47" si="21">$H$96</f>
        <v>947.85</v>
      </c>
      <c r="Q46" s="126">
        <v>30.0</v>
      </c>
      <c r="R46" s="127">
        <f t="shared" si="15"/>
        <v>28435.5</v>
      </c>
      <c r="S46" s="119"/>
      <c r="T46" s="87" t="s">
        <v>49</v>
      </c>
      <c r="U46" s="125">
        <f t="shared" ref="U46:U47" si="22">$H$96</f>
        <v>947.85</v>
      </c>
      <c r="V46" s="126">
        <v>30.0</v>
      </c>
      <c r="W46" s="127">
        <f t="shared" si="16"/>
        <v>28435.5</v>
      </c>
      <c r="X46" s="119"/>
      <c r="Y46" s="87" t="s">
        <v>49</v>
      </c>
      <c r="Z46" s="125">
        <f t="shared" ref="Z46:Z47" si="23">$H$96</f>
        <v>947.85</v>
      </c>
      <c r="AA46" s="126">
        <v>30.0</v>
      </c>
      <c r="AB46" s="127">
        <f t="shared" si="17"/>
        <v>28435.5</v>
      </c>
      <c r="AC46" s="119"/>
      <c r="AD46" s="87" t="s">
        <v>49</v>
      </c>
      <c r="AE46" s="125">
        <f t="shared" ref="AE46:AE47" si="24">$H$96</f>
        <v>947.85</v>
      </c>
      <c r="AF46" s="126">
        <v>30.0</v>
      </c>
      <c r="AG46" s="127">
        <f t="shared" si="18"/>
        <v>28435.5</v>
      </c>
      <c r="AH46" s="119"/>
      <c r="AI46" s="87" t="s">
        <v>49</v>
      </c>
      <c r="AJ46" s="125">
        <f t="shared" ref="AJ46:AJ47" si="25">$H$96</f>
        <v>947.85</v>
      </c>
      <c r="AK46" s="126">
        <v>30.0</v>
      </c>
      <c r="AL46" s="127">
        <f t="shared" si="19"/>
        <v>28435.5</v>
      </c>
    </row>
    <row r="47" ht="14.25" customHeight="1">
      <c r="A47" s="87"/>
      <c r="B47" s="119"/>
      <c r="C47" s="35">
        <v>108057.0</v>
      </c>
      <c r="D47" s="108" t="s">
        <v>73</v>
      </c>
      <c r="E47" s="82" t="s">
        <v>144</v>
      </c>
      <c r="F47" s="35" t="s">
        <v>143</v>
      </c>
      <c r="G47" s="83">
        <v>3986711.0</v>
      </c>
      <c r="H47" s="87"/>
      <c r="I47" s="119"/>
      <c r="J47" s="87" t="s">
        <v>50</v>
      </c>
      <c r="K47" s="125">
        <f t="shared" si="20"/>
        <v>947.85</v>
      </c>
      <c r="L47" s="126">
        <v>30.0</v>
      </c>
      <c r="M47" s="127">
        <f t="shared" si="14"/>
        <v>28435.5</v>
      </c>
      <c r="N47" s="119"/>
      <c r="O47" s="87" t="s">
        <v>50</v>
      </c>
      <c r="P47" s="125">
        <f t="shared" si="21"/>
        <v>947.85</v>
      </c>
      <c r="Q47" s="126">
        <v>30.0</v>
      </c>
      <c r="R47" s="127">
        <f t="shared" si="15"/>
        <v>28435.5</v>
      </c>
      <c r="S47" s="119"/>
      <c r="T47" s="87" t="s">
        <v>50</v>
      </c>
      <c r="U47" s="125">
        <f t="shared" si="22"/>
        <v>947.85</v>
      </c>
      <c r="V47" s="126">
        <v>30.0</v>
      </c>
      <c r="W47" s="127">
        <f t="shared" si="16"/>
        <v>28435.5</v>
      </c>
      <c r="X47" s="119"/>
      <c r="Y47" s="87" t="s">
        <v>50</v>
      </c>
      <c r="Z47" s="125">
        <f t="shared" si="23"/>
        <v>947.85</v>
      </c>
      <c r="AA47" s="126">
        <v>30.0</v>
      </c>
      <c r="AB47" s="127">
        <f t="shared" si="17"/>
        <v>28435.5</v>
      </c>
      <c r="AC47" s="119"/>
      <c r="AD47" s="87" t="s">
        <v>50</v>
      </c>
      <c r="AE47" s="125">
        <f t="shared" si="24"/>
        <v>947.85</v>
      </c>
      <c r="AF47" s="126">
        <v>30.0</v>
      </c>
      <c r="AG47" s="127">
        <f t="shared" si="18"/>
        <v>28435.5</v>
      </c>
      <c r="AH47" s="119"/>
      <c r="AI47" s="87" t="s">
        <v>50</v>
      </c>
      <c r="AJ47" s="125">
        <f t="shared" si="25"/>
        <v>947.85</v>
      </c>
      <c r="AK47" s="126">
        <v>30.0</v>
      </c>
      <c r="AL47" s="127">
        <f t="shared" si="19"/>
        <v>28435.5</v>
      </c>
    </row>
    <row r="48" ht="14.25" customHeight="1">
      <c r="A48" s="87"/>
      <c r="B48" s="119"/>
      <c r="C48" s="35">
        <v>108056.0</v>
      </c>
      <c r="D48" s="108" t="s">
        <v>73</v>
      </c>
      <c r="E48" s="82" t="s">
        <v>146</v>
      </c>
      <c r="F48" s="35" t="s">
        <v>145</v>
      </c>
      <c r="G48" s="83">
        <v>4126266.0</v>
      </c>
      <c r="H48" s="87"/>
      <c r="I48" s="119"/>
      <c r="L48" s="87" t="s">
        <v>236</v>
      </c>
      <c r="M48" s="127">
        <f>SUM(M37:M47)</f>
        <v>1100742.181</v>
      </c>
      <c r="N48" s="119"/>
      <c r="Q48" s="87" t="s">
        <v>236</v>
      </c>
      <c r="R48" s="127">
        <f>SUM(R37:R47)</f>
        <v>1142005.339</v>
      </c>
      <c r="S48" s="119"/>
      <c r="V48" s="87" t="s">
        <v>236</v>
      </c>
      <c r="W48" s="127">
        <f>SUM(W37:W47)</f>
        <v>1526425.561</v>
      </c>
      <c r="X48" s="119"/>
      <c r="AA48" s="87" t="s">
        <v>236</v>
      </c>
      <c r="AB48" s="127">
        <f>SUM(AB37:AB47)</f>
        <v>1676151.877</v>
      </c>
      <c r="AC48" s="119"/>
      <c r="AD48" s="87"/>
      <c r="AE48" s="87"/>
      <c r="AF48" s="87" t="s">
        <v>236</v>
      </c>
      <c r="AG48" s="127">
        <f>SUM(AG37:AG47)</f>
        <v>2324236.317</v>
      </c>
      <c r="AH48" s="119"/>
      <c r="AI48" s="87"/>
      <c r="AJ48" s="87"/>
      <c r="AK48" s="87" t="s">
        <v>236</v>
      </c>
      <c r="AL48" s="127">
        <f>SUM(AL37:AL47)</f>
        <v>2843316.122</v>
      </c>
    </row>
    <row r="49" ht="14.25" customHeight="1">
      <c r="A49" s="87"/>
      <c r="B49" s="91"/>
      <c r="C49" s="92">
        <v>106680.0</v>
      </c>
      <c r="D49" s="93" t="s">
        <v>73</v>
      </c>
      <c r="E49" s="93" t="s">
        <v>174</v>
      </c>
      <c r="F49" s="93" t="s">
        <v>173</v>
      </c>
      <c r="G49" s="94">
        <v>859922.123015873</v>
      </c>
      <c r="H49" s="87"/>
      <c r="I49" s="119"/>
      <c r="L49" s="87" t="s">
        <v>237</v>
      </c>
      <c r="M49" s="127">
        <f>M48*1.19</f>
        <v>1309883.195</v>
      </c>
      <c r="N49" s="119"/>
      <c r="Q49" s="87" t="s">
        <v>237</v>
      </c>
      <c r="R49" s="127">
        <f>R48*1.19</f>
        <v>1358986.353</v>
      </c>
      <c r="S49" s="119"/>
      <c r="V49" s="87" t="s">
        <v>237</v>
      </c>
      <c r="W49" s="127">
        <f>W48*1.19</f>
        <v>1816446.418</v>
      </c>
      <c r="X49" s="119"/>
      <c r="AA49" s="87" t="s">
        <v>237</v>
      </c>
      <c r="AB49" s="127">
        <f>AB48*1.19</f>
        <v>1994620.733</v>
      </c>
      <c r="AC49" s="119"/>
      <c r="AD49" s="87"/>
      <c r="AE49" s="87"/>
      <c r="AF49" s="87" t="s">
        <v>237</v>
      </c>
      <c r="AG49" s="127">
        <f>AG48*1.19</f>
        <v>2765841.217</v>
      </c>
      <c r="AH49" s="119"/>
      <c r="AI49" s="87"/>
      <c r="AJ49" s="87"/>
      <c r="AK49" s="87" t="s">
        <v>237</v>
      </c>
      <c r="AL49" s="127">
        <f>AL48*1.19</f>
        <v>3383546.185</v>
      </c>
    </row>
    <row r="50" ht="14.25" customHeight="1">
      <c r="A50" s="87"/>
      <c r="B50" s="95"/>
      <c r="C50" s="107">
        <v>106679.0</v>
      </c>
      <c r="D50" s="108" t="s">
        <v>73</v>
      </c>
      <c r="E50" s="108" t="s">
        <v>176</v>
      </c>
      <c r="F50" s="145" t="s">
        <v>175</v>
      </c>
      <c r="G50" s="146">
        <v>640000.0</v>
      </c>
      <c r="H50" s="87"/>
      <c r="I50" s="119"/>
      <c r="L50" s="124" t="s">
        <v>238</v>
      </c>
      <c r="M50" s="127">
        <f>M48*0.25</f>
        <v>275185.5453</v>
      </c>
      <c r="N50" s="119"/>
      <c r="Q50" s="124" t="s">
        <v>238</v>
      </c>
      <c r="R50" s="127">
        <f>R48*0.25</f>
        <v>285501.3347</v>
      </c>
      <c r="S50" s="119"/>
      <c r="V50" s="124" t="s">
        <v>238</v>
      </c>
      <c r="W50" s="127">
        <f>W48*0.25</f>
        <v>381606.3902</v>
      </c>
      <c r="X50" s="119"/>
      <c r="AA50" s="124" t="s">
        <v>238</v>
      </c>
      <c r="AB50" s="127">
        <f>AB48*0.25</f>
        <v>419037.9692</v>
      </c>
      <c r="AC50" s="119"/>
      <c r="AD50" s="87"/>
      <c r="AE50" s="87"/>
      <c r="AF50" s="124" t="s">
        <v>238</v>
      </c>
      <c r="AG50" s="127">
        <f>AG48*0.25</f>
        <v>581059.0793</v>
      </c>
      <c r="AH50" s="119"/>
      <c r="AI50" s="87"/>
      <c r="AJ50" s="87"/>
      <c r="AK50" s="124" t="s">
        <v>238</v>
      </c>
      <c r="AL50" s="127">
        <f>AL48*0.25</f>
        <v>710829.0305</v>
      </c>
    </row>
    <row r="51" ht="14.25" customHeight="1">
      <c r="A51" s="87"/>
      <c r="B51" s="95"/>
      <c r="C51" s="107">
        <v>107839.0</v>
      </c>
      <c r="D51" s="108" t="s">
        <v>73</v>
      </c>
      <c r="E51" s="147" t="s">
        <v>178</v>
      </c>
      <c r="F51" s="108" t="s">
        <v>177</v>
      </c>
      <c r="G51" s="123">
        <v>640000.0</v>
      </c>
      <c r="H51" s="87"/>
      <c r="I51" s="135"/>
      <c r="J51" s="136"/>
      <c r="K51" s="136"/>
      <c r="L51" s="137" t="s">
        <v>239</v>
      </c>
      <c r="M51" s="148">
        <f>M49+M50</f>
        <v>1585068.741</v>
      </c>
      <c r="N51" s="135"/>
      <c r="O51" s="136"/>
      <c r="P51" s="136"/>
      <c r="Q51" s="137" t="s">
        <v>239</v>
      </c>
      <c r="R51" s="148">
        <f>R49+R50</f>
        <v>1644487.688</v>
      </c>
      <c r="S51" s="135"/>
      <c r="T51" s="136"/>
      <c r="U51" s="136"/>
      <c r="V51" s="137" t="s">
        <v>239</v>
      </c>
      <c r="W51" s="148">
        <f>W49+W50</f>
        <v>2198052.808</v>
      </c>
      <c r="X51" s="135"/>
      <c r="Y51" s="136"/>
      <c r="Z51" s="136"/>
      <c r="AA51" s="137" t="s">
        <v>239</v>
      </c>
      <c r="AB51" s="148">
        <f>AB49+AB50</f>
        <v>2413658.703</v>
      </c>
      <c r="AC51" s="135"/>
      <c r="AD51" s="136"/>
      <c r="AE51" s="136"/>
      <c r="AF51" s="137" t="s">
        <v>239</v>
      </c>
      <c r="AG51" s="148">
        <f>AG49+AG50</f>
        <v>3346900.297</v>
      </c>
      <c r="AH51" s="135"/>
      <c r="AI51" s="136"/>
      <c r="AJ51" s="136"/>
      <c r="AK51" s="137" t="s">
        <v>239</v>
      </c>
      <c r="AL51" s="148">
        <f>AL49+AL50</f>
        <v>4094375.216</v>
      </c>
    </row>
    <row r="52" ht="14.25" customHeight="1">
      <c r="A52" s="87"/>
      <c r="B52" s="95"/>
      <c r="C52" s="107">
        <v>107838.0</v>
      </c>
      <c r="D52" s="108" t="s">
        <v>73</v>
      </c>
      <c r="E52" s="108" t="s">
        <v>180</v>
      </c>
      <c r="F52" s="108" t="s">
        <v>179</v>
      </c>
      <c r="G52" s="123">
        <v>1653600.6666666667</v>
      </c>
      <c r="H52" s="87"/>
      <c r="I52" s="87"/>
      <c r="J52" s="87"/>
      <c r="K52" s="125"/>
      <c r="L52" s="87"/>
      <c r="M52" s="125"/>
    </row>
    <row r="53" ht="14.25" customHeight="1">
      <c r="A53" s="87"/>
      <c r="B53" s="95"/>
      <c r="C53" s="96">
        <v>106798.0</v>
      </c>
      <c r="D53" s="108" t="s">
        <v>73</v>
      </c>
      <c r="E53" s="82" t="s">
        <v>182</v>
      </c>
      <c r="F53" s="82" t="s">
        <v>181</v>
      </c>
      <c r="G53" s="123">
        <v>1070000.0</v>
      </c>
      <c r="H53" s="87"/>
      <c r="I53" s="87"/>
      <c r="J53" s="87"/>
      <c r="K53" s="125"/>
      <c r="L53" s="87"/>
      <c r="M53" s="125"/>
    </row>
    <row r="54" ht="14.25" customHeight="1">
      <c r="A54" s="87"/>
      <c r="B54" s="95"/>
      <c r="C54" s="96">
        <v>106797.0</v>
      </c>
      <c r="D54" s="108" t="s">
        <v>73</v>
      </c>
      <c r="E54" s="82" t="s">
        <v>184</v>
      </c>
      <c r="F54" s="82" t="s">
        <v>183</v>
      </c>
      <c r="G54" s="83">
        <v>91120.48611111111</v>
      </c>
      <c r="H54" s="87"/>
      <c r="I54" s="149"/>
      <c r="J54" s="87"/>
      <c r="K54" s="125"/>
      <c r="L54" s="87"/>
      <c r="M54" s="125"/>
    </row>
    <row r="55" ht="14.25" customHeight="1">
      <c r="A55" s="87"/>
      <c r="B55" s="95"/>
      <c r="C55" s="96">
        <v>107835.0</v>
      </c>
      <c r="D55" s="108" t="s">
        <v>73</v>
      </c>
      <c r="E55" s="82" t="s">
        <v>186</v>
      </c>
      <c r="F55" s="82" t="s">
        <v>185</v>
      </c>
      <c r="G55" s="83">
        <v>42440.50925925926</v>
      </c>
      <c r="H55" s="87"/>
      <c r="I55" s="87"/>
      <c r="J55" s="87"/>
      <c r="K55" s="125"/>
      <c r="L55" s="87"/>
      <c r="M55" s="125"/>
    </row>
    <row r="56" ht="14.25" customHeight="1">
      <c r="A56" s="87"/>
      <c r="B56" s="95"/>
      <c r="C56" s="96">
        <v>107837.0</v>
      </c>
      <c r="D56" s="108" t="s">
        <v>73</v>
      </c>
      <c r="E56" s="82" t="s">
        <v>246</v>
      </c>
      <c r="F56" s="82" t="s">
        <v>187</v>
      </c>
      <c r="G56" s="83">
        <v>7600410.389610389</v>
      </c>
      <c r="H56" s="87"/>
      <c r="I56" s="150" t="s">
        <v>247</v>
      </c>
      <c r="J56" s="99"/>
      <c r="K56" s="99"/>
      <c r="L56" s="99"/>
      <c r="M56" s="100"/>
      <c r="N56" s="150" t="s">
        <v>248</v>
      </c>
      <c r="O56" s="99"/>
      <c r="P56" s="99"/>
      <c r="Q56" s="99"/>
      <c r="R56" s="100"/>
      <c r="S56" s="150" t="s">
        <v>249</v>
      </c>
      <c r="T56" s="99"/>
      <c r="U56" s="99"/>
      <c r="V56" s="99"/>
      <c r="W56" s="100"/>
    </row>
    <row r="57" ht="14.25" customHeight="1">
      <c r="A57" s="87"/>
      <c r="B57" s="95"/>
      <c r="C57" s="96">
        <v>107836.0</v>
      </c>
      <c r="D57" s="108" t="s">
        <v>73</v>
      </c>
      <c r="E57" s="82" t="s">
        <v>190</v>
      </c>
      <c r="F57" s="82" t="s">
        <v>189</v>
      </c>
      <c r="G57" s="83">
        <v>1.37376875E7</v>
      </c>
      <c r="H57" s="87"/>
      <c r="I57" s="95"/>
      <c r="M57" s="101"/>
      <c r="N57" s="95"/>
      <c r="R57" s="101"/>
      <c r="S57" s="95"/>
      <c r="W57" s="101"/>
    </row>
    <row r="58" ht="14.25" customHeight="1">
      <c r="A58" s="87"/>
      <c r="B58" s="95"/>
      <c r="C58" s="96">
        <v>106990.0</v>
      </c>
      <c r="D58" s="108" t="s">
        <v>73</v>
      </c>
      <c r="E58" s="82" t="s">
        <v>192</v>
      </c>
      <c r="F58" s="82" t="s">
        <v>191</v>
      </c>
      <c r="G58" s="83">
        <v>2.015541E7</v>
      </c>
      <c r="H58" s="87"/>
      <c r="I58" s="103"/>
      <c r="J58" s="104"/>
      <c r="K58" s="104"/>
      <c r="L58" s="104"/>
      <c r="M58" s="105"/>
      <c r="N58" s="103"/>
      <c r="O58" s="104"/>
      <c r="P58" s="104"/>
      <c r="Q58" s="104"/>
      <c r="R58" s="105"/>
      <c r="S58" s="103"/>
      <c r="T58" s="104"/>
      <c r="U58" s="104"/>
      <c r="V58" s="104"/>
      <c r="W58" s="105"/>
    </row>
    <row r="59" ht="14.25" customHeight="1">
      <c r="A59" s="87"/>
      <c r="B59" s="143"/>
      <c r="C59" s="96">
        <v>108051.0</v>
      </c>
      <c r="D59" s="108" t="s">
        <v>73</v>
      </c>
      <c r="E59" s="82" t="s">
        <v>194</v>
      </c>
      <c r="F59" s="82" t="s">
        <v>193</v>
      </c>
      <c r="G59" s="83">
        <v>87780.0</v>
      </c>
      <c r="H59" s="87"/>
      <c r="I59" s="151"/>
      <c r="J59" s="152"/>
      <c r="K59" s="153"/>
      <c r="L59" s="153"/>
      <c r="M59" s="154"/>
      <c r="N59" s="151"/>
      <c r="O59" s="152"/>
      <c r="P59" s="153"/>
      <c r="Q59" s="153"/>
      <c r="R59" s="154"/>
      <c r="S59" s="151"/>
      <c r="T59" s="152"/>
      <c r="U59" s="153"/>
      <c r="V59" s="153"/>
      <c r="W59" s="154"/>
    </row>
    <row r="60" ht="14.25" customHeight="1">
      <c r="A60" s="87"/>
      <c r="B60" s="143"/>
      <c r="C60" s="155">
        <v>108052.0</v>
      </c>
      <c r="D60" s="156" t="s">
        <v>73</v>
      </c>
      <c r="E60" s="157" t="s">
        <v>196</v>
      </c>
      <c r="F60" s="157" t="s">
        <v>195</v>
      </c>
      <c r="G60" s="158">
        <v>125020.0</v>
      </c>
      <c r="H60" s="87"/>
      <c r="I60" s="159"/>
      <c r="L60" s="87" t="s">
        <v>221</v>
      </c>
      <c r="M60" s="160" t="s">
        <v>52</v>
      </c>
      <c r="N60" s="159"/>
      <c r="Q60" s="87" t="s">
        <v>221</v>
      </c>
      <c r="R60" s="160" t="s">
        <v>52</v>
      </c>
      <c r="S60" s="159"/>
      <c r="V60" s="87" t="s">
        <v>221</v>
      </c>
      <c r="W60" s="160" t="s">
        <v>52</v>
      </c>
    </row>
    <row r="61" ht="15.75" customHeight="1">
      <c r="A61" s="87"/>
      <c r="B61" s="161" t="s">
        <v>250</v>
      </c>
      <c r="C61" s="162">
        <v>107854.0</v>
      </c>
      <c r="D61" s="93" t="s">
        <v>73</v>
      </c>
      <c r="E61" s="93" t="s">
        <v>198</v>
      </c>
      <c r="F61" s="163" t="s">
        <v>197</v>
      </c>
      <c r="G61" s="94">
        <v>409640.0</v>
      </c>
      <c r="H61" s="87"/>
      <c r="I61" s="159" t="s">
        <v>62</v>
      </c>
      <c r="J61" s="124" t="s">
        <v>224</v>
      </c>
      <c r="K61" s="125">
        <f>$G$6</f>
        <v>105690.9512</v>
      </c>
      <c r="L61" s="126">
        <v>6.0</v>
      </c>
      <c r="M61" s="164">
        <f t="shared" ref="M61:M76" si="26">K61*L61</f>
        <v>634145.7073</v>
      </c>
      <c r="N61" s="159" t="s">
        <v>62</v>
      </c>
      <c r="O61" s="124" t="s">
        <v>224</v>
      </c>
      <c r="P61" s="125">
        <f>$G$6</f>
        <v>105690.9512</v>
      </c>
      <c r="Q61" s="126">
        <v>6.0</v>
      </c>
      <c r="R61" s="164">
        <f t="shared" ref="R61:R76" si="27">P61*Q61</f>
        <v>634145.7073</v>
      </c>
      <c r="S61" s="159" t="s">
        <v>62</v>
      </c>
      <c r="T61" s="124" t="s">
        <v>224</v>
      </c>
      <c r="U61" s="125">
        <f>$G$6</f>
        <v>105690.9512</v>
      </c>
      <c r="V61" s="128">
        <v>9.0</v>
      </c>
      <c r="W61" s="164">
        <f t="shared" ref="W61:W76" si="28">U61*V61</f>
        <v>951218.561</v>
      </c>
    </row>
    <row r="62" ht="15.75" customHeight="1">
      <c r="A62" s="87"/>
      <c r="B62" s="95"/>
      <c r="C62" s="35">
        <v>107840.0</v>
      </c>
      <c r="D62" s="82" t="s">
        <v>73</v>
      </c>
      <c r="E62" s="82" t="s">
        <v>200</v>
      </c>
      <c r="F62" s="131" t="s">
        <v>199</v>
      </c>
      <c r="G62" s="83">
        <v>730187.5</v>
      </c>
      <c r="H62" s="87"/>
      <c r="I62" s="159"/>
      <c r="J62" s="165" t="s">
        <v>147</v>
      </c>
      <c r="K62" s="166">
        <v>584397.0</v>
      </c>
      <c r="L62" s="126">
        <v>1.0</v>
      </c>
      <c r="M62" s="164">
        <f t="shared" si="26"/>
        <v>584397</v>
      </c>
      <c r="N62" s="159"/>
      <c r="O62" s="165" t="s">
        <v>14</v>
      </c>
      <c r="P62" s="166">
        <v>526000.0</v>
      </c>
      <c r="Q62" s="126">
        <v>1.0</v>
      </c>
      <c r="R62" s="164">
        <f t="shared" si="27"/>
        <v>526000</v>
      </c>
      <c r="S62" s="159"/>
      <c r="T62" s="165" t="s">
        <v>150</v>
      </c>
      <c r="U62" s="166">
        <v>822671.0</v>
      </c>
      <c r="V62" s="126">
        <v>1.0</v>
      </c>
      <c r="W62" s="164">
        <f t="shared" si="28"/>
        <v>822671</v>
      </c>
    </row>
    <row r="63" ht="16.5" customHeight="1">
      <c r="A63" s="87"/>
      <c r="B63" s="95"/>
      <c r="C63" s="35">
        <v>106678.0</v>
      </c>
      <c r="D63" s="82" t="s">
        <v>73</v>
      </c>
      <c r="E63" s="82" t="s">
        <v>202</v>
      </c>
      <c r="F63" s="131" t="s">
        <v>201</v>
      </c>
      <c r="G63" s="83">
        <v>76822.04861111111</v>
      </c>
      <c r="H63" s="87"/>
      <c r="I63" s="167"/>
      <c r="J63" s="165" t="s">
        <v>20</v>
      </c>
      <c r="K63" s="166">
        <v>1656177.0</v>
      </c>
      <c r="L63" s="126">
        <v>1.0</v>
      </c>
      <c r="M63" s="164">
        <f t="shared" si="26"/>
        <v>1656177</v>
      </c>
      <c r="N63" s="167"/>
      <c r="O63" s="165" t="s">
        <v>20</v>
      </c>
      <c r="P63" s="166">
        <v>1656177.0</v>
      </c>
      <c r="Q63" s="126">
        <v>1.0</v>
      </c>
      <c r="R63" s="164">
        <f t="shared" si="27"/>
        <v>1656177</v>
      </c>
      <c r="S63" s="167"/>
      <c r="T63" s="165" t="s">
        <v>20</v>
      </c>
      <c r="U63" s="166">
        <v>1656177.0</v>
      </c>
      <c r="V63" s="128">
        <v>1.0</v>
      </c>
      <c r="W63" s="164">
        <f t="shared" si="28"/>
        <v>1656177</v>
      </c>
    </row>
    <row r="64" ht="14.25" customHeight="1">
      <c r="A64" s="87"/>
      <c r="B64" s="95"/>
      <c r="C64" s="35">
        <v>106676.0</v>
      </c>
      <c r="D64" s="82" t="s">
        <v>73</v>
      </c>
      <c r="E64" s="82" t="s">
        <v>204</v>
      </c>
      <c r="F64" s="131" t="s">
        <v>203</v>
      </c>
      <c r="G64" s="83">
        <v>140577.43055555556</v>
      </c>
      <c r="H64" s="87"/>
      <c r="I64" s="159"/>
      <c r="J64" s="168" t="s">
        <v>23</v>
      </c>
      <c r="K64" s="166">
        <v>625000.0</v>
      </c>
      <c r="L64" s="126">
        <v>1.0</v>
      </c>
      <c r="M64" s="164">
        <f t="shared" si="26"/>
        <v>625000</v>
      </c>
      <c r="N64" s="159"/>
      <c r="O64" s="168" t="s">
        <v>23</v>
      </c>
      <c r="P64" s="166">
        <v>625000.0</v>
      </c>
      <c r="Q64" s="126">
        <v>1.0</v>
      </c>
      <c r="R64" s="164">
        <f t="shared" si="27"/>
        <v>625000</v>
      </c>
      <c r="S64" s="159"/>
      <c r="T64" s="168" t="s">
        <v>23</v>
      </c>
      <c r="U64" s="166">
        <v>625000.0</v>
      </c>
      <c r="V64" s="126">
        <v>1.0</v>
      </c>
      <c r="W64" s="164">
        <f t="shared" si="28"/>
        <v>625000</v>
      </c>
    </row>
    <row r="65" ht="14.25" customHeight="1">
      <c r="A65" s="87"/>
      <c r="B65" s="95"/>
      <c r="C65" s="35">
        <v>106675.0</v>
      </c>
      <c r="D65" s="82" t="s">
        <v>73</v>
      </c>
      <c r="E65" s="82" t="s">
        <v>206</v>
      </c>
      <c r="F65" s="82" t="s">
        <v>205</v>
      </c>
      <c r="G65" s="83">
        <v>52705.8823529412</v>
      </c>
      <c r="H65" s="87"/>
      <c r="I65" s="159"/>
      <c r="J65" s="168" t="s">
        <v>25</v>
      </c>
      <c r="K65" s="166">
        <v>476874.0</v>
      </c>
      <c r="L65" s="126">
        <v>1.0</v>
      </c>
      <c r="M65" s="164">
        <f t="shared" si="26"/>
        <v>476874</v>
      </c>
      <c r="N65" s="159"/>
      <c r="O65" s="168" t="s">
        <v>25</v>
      </c>
      <c r="P65" s="166">
        <v>476874.0</v>
      </c>
      <c r="Q65" s="126">
        <v>1.0</v>
      </c>
      <c r="R65" s="164">
        <f t="shared" si="27"/>
        <v>476874</v>
      </c>
      <c r="S65" s="159"/>
      <c r="T65" s="168" t="s">
        <v>25</v>
      </c>
      <c r="U65" s="166">
        <v>476874.0</v>
      </c>
      <c r="V65" s="126">
        <v>1.0</v>
      </c>
      <c r="W65" s="164">
        <f t="shared" si="28"/>
        <v>476874</v>
      </c>
    </row>
    <row r="66" ht="14.25" customHeight="1">
      <c r="A66" s="87"/>
      <c r="B66" s="103"/>
      <c r="C66" s="84">
        <v>106677.0</v>
      </c>
      <c r="D66" s="85" t="s">
        <v>73</v>
      </c>
      <c r="E66" s="85" t="s">
        <v>208</v>
      </c>
      <c r="F66" s="85" t="s">
        <v>207</v>
      </c>
      <c r="G66" s="86">
        <v>81200.0</v>
      </c>
      <c r="H66" s="87"/>
      <c r="I66" s="159"/>
      <c r="J66" s="168" t="s">
        <v>27</v>
      </c>
      <c r="K66" s="166">
        <v>63044.0</v>
      </c>
      <c r="L66" s="126">
        <v>1.0</v>
      </c>
      <c r="M66" s="164">
        <f t="shared" si="26"/>
        <v>63044</v>
      </c>
      <c r="N66" s="159"/>
      <c r="O66" s="168" t="s">
        <v>27</v>
      </c>
      <c r="P66" s="166">
        <v>63044.0</v>
      </c>
      <c r="Q66" s="126">
        <v>1.0</v>
      </c>
      <c r="R66" s="164">
        <f t="shared" si="27"/>
        <v>63044</v>
      </c>
      <c r="S66" s="159"/>
      <c r="T66" s="168" t="s">
        <v>27</v>
      </c>
      <c r="U66" s="166">
        <v>63044.0</v>
      </c>
      <c r="V66" s="126">
        <v>1.0</v>
      </c>
      <c r="W66" s="164">
        <f t="shared" si="28"/>
        <v>63044</v>
      </c>
    </row>
    <row r="67" ht="15.75" customHeight="1">
      <c r="A67" s="87"/>
      <c r="B67" s="169" t="s">
        <v>251</v>
      </c>
      <c r="C67" s="122">
        <v>106673.0</v>
      </c>
      <c r="D67" s="108" t="s">
        <v>252</v>
      </c>
      <c r="E67" s="147" t="s">
        <v>253</v>
      </c>
      <c r="F67" s="109"/>
      <c r="G67" s="123">
        <v>688.0</v>
      </c>
      <c r="H67" s="87"/>
      <c r="I67" s="159"/>
      <c r="J67" s="168" t="s">
        <v>28</v>
      </c>
      <c r="K67" s="166">
        <v>56485.0</v>
      </c>
      <c r="L67" s="126">
        <v>1.0</v>
      </c>
      <c r="M67" s="164">
        <f t="shared" si="26"/>
        <v>56485</v>
      </c>
      <c r="N67" s="159"/>
      <c r="O67" s="168" t="s">
        <v>28</v>
      </c>
      <c r="P67" s="166">
        <v>56485.0</v>
      </c>
      <c r="Q67" s="126">
        <v>1.0</v>
      </c>
      <c r="R67" s="164">
        <f t="shared" si="27"/>
        <v>56485</v>
      </c>
      <c r="S67" s="159"/>
      <c r="T67" s="168" t="s">
        <v>28</v>
      </c>
      <c r="U67" s="166">
        <v>56485.0</v>
      </c>
      <c r="V67" s="126">
        <v>1.0</v>
      </c>
      <c r="W67" s="164">
        <f t="shared" si="28"/>
        <v>56485</v>
      </c>
    </row>
    <row r="68" ht="14.25" customHeight="1">
      <c r="A68" s="87"/>
      <c r="B68" s="129"/>
      <c r="C68" s="35">
        <v>106672.0</v>
      </c>
      <c r="D68" s="82" t="s">
        <v>252</v>
      </c>
      <c r="E68" s="82" t="s">
        <v>254</v>
      </c>
      <c r="F68" s="170"/>
      <c r="G68" s="83">
        <v>288.0</v>
      </c>
      <c r="H68" s="87"/>
      <c r="I68" s="159"/>
      <c r="J68" s="87" t="s">
        <v>42</v>
      </c>
      <c r="K68" s="125">
        <f>$G$82</f>
        <v>18320</v>
      </c>
      <c r="L68" s="126">
        <v>3.0</v>
      </c>
      <c r="M68" s="164">
        <f t="shared" si="26"/>
        <v>54960</v>
      </c>
      <c r="N68" s="159"/>
      <c r="O68" s="87" t="s">
        <v>42</v>
      </c>
      <c r="P68" s="125">
        <f>$G$82</f>
        <v>18320</v>
      </c>
      <c r="Q68" s="126">
        <v>3.0</v>
      </c>
      <c r="R68" s="164">
        <f t="shared" si="27"/>
        <v>54960</v>
      </c>
      <c r="S68" s="159"/>
      <c r="T68" s="87" t="s">
        <v>42</v>
      </c>
      <c r="U68" s="125">
        <f>$G$82</f>
        <v>18320</v>
      </c>
      <c r="V68" s="128">
        <v>5.0</v>
      </c>
      <c r="W68" s="164">
        <f t="shared" si="28"/>
        <v>91600</v>
      </c>
    </row>
    <row r="69" ht="14.25" customHeight="1">
      <c r="A69" s="87"/>
      <c r="B69" s="129"/>
      <c r="C69" s="35">
        <v>106671.0</v>
      </c>
      <c r="D69" s="82" t="s">
        <v>252</v>
      </c>
      <c r="E69" s="82" t="s">
        <v>43</v>
      </c>
      <c r="F69" s="82"/>
      <c r="G69" s="140">
        <v>1100.0</v>
      </c>
      <c r="H69" s="97"/>
      <c r="I69" s="159"/>
      <c r="J69" s="87" t="s">
        <v>43</v>
      </c>
      <c r="K69" s="125">
        <f>$G$69</f>
        <v>1100</v>
      </c>
      <c r="L69" s="126">
        <v>10.0</v>
      </c>
      <c r="M69" s="164">
        <f t="shared" si="26"/>
        <v>11000</v>
      </c>
      <c r="N69" s="159"/>
      <c r="O69" s="87" t="s">
        <v>43</v>
      </c>
      <c r="P69" s="125">
        <f>$G$69</f>
        <v>1100</v>
      </c>
      <c r="Q69" s="126">
        <v>10.0</v>
      </c>
      <c r="R69" s="164">
        <f t="shared" si="27"/>
        <v>11000</v>
      </c>
      <c r="S69" s="159"/>
      <c r="T69" s="87" t="s">
        <v>43</v>
      </c>
      <c r="U69" s="125">
        <f>$G$69</f>
        <v>1100</v>
      </c>
      <c r="V69" s="128">
        <v>16.0</v>
      </c>
      <c r="W69" s="164">
        <f t="shared" si="28"/>
        <v>17600</v>
      </c>
    </row>
    <row r="70" ht="14.25" customHeight="1">
      <c r="A70" s="87"/>
      <c r="B70" s="129"/>
      <c r="C70" s="122">
        <v>106670.0</v>
      </c>
      <c r="D70" s="108" t="s">
        <v>252</v>
      </c>
      <c r="E70" s="108" t="s">
        <v>255</v>
      </c>
      <c r="F70" s="109"/>
      <c r="G70" s="123">
        <v>1904.0</v>
      </c>
      <c r="H70" s="87"/>
      <c r="I70" s="159"/>
      <c r="J70" s="87" t="s">
        <v>44</v>
      </c>
      <c r="K70" s="125">
        <f>$G$85</f>
        <v>2500</v>
      </c>
      <c r="L70" s="124">
        <v>2.0</v>
      </c>
      <c r="M70" s="164">
        <f t="shared" si="26"/>
        <v>5000</v>
      </c>
      <c r="N70" s="159"/>
      <c r="O70" s="87" t="s">
        <v>44</v>
      </c>
      <c r="P70" s="125">
        <f>$G$85</f>
        <v>2500</v>
      </c>
      <c r="Q70" s="124">
        <v>2.0</v>
      </c>
      <c r="R70" s="164">
        <f t="shared" si="27"/>
        <v>5000</v>
      </c>
      <c r="S70" s="159"/>
      <c r="T70" s="87" t="s">
        <v>44</v>
      </c>
      <c r="U70" s="125">
        <f>$G$85</f>
        <v>2500</v>
      </c>
      <c r="V70" s="87">
        <v>4.0</v>
      </c>
      <c r="W70" s="164">
        <f t="shared" si="28"/>
        <v>10000</v>
      </c>
    </row>
    <row r="71" ht="14.25" customHeight="1">
      <c r="A71" s="87"/>
      <c r="B71" s="129"/>
      <c r="C71" s="35">
        <v>106669.0</v>
      </c>
      <c r="D71" s="82" t="s">
        <v>252</v>
      </c>
      <c r="E71" s="82" t="s">
        <v>256</v>
      </c>
      <c r="F71" s="170"/>
      <c r="G71" s="83">
        <v>1920.0</v>
      </c>
      <c r="H71" s="87"/>
      <c r="I71" s="159"/>
      <c r="J71" s="87" t="s">
        <v>45</v>
      </c>
      <c r="K71" s="125">
        <f>$G$80</f>
        <v>496</v>
      </c>
      <c r="L71" s="126">
        <v>12.0</v>
      </c>
      <c r="M71" s="164">
        <f t="shared" si="26"/>
        <v>5952</v>
      </c>
      <c r="N71" s="159"/>
      <c r="O71" s="87" t="s">
        <v>45</v>
      </c>
      <c r="P71" s="125">
        <f>$G$80</f>
        <v>496</v>
      </c>
      <c r="Q71" s="126">
        <v>12.0</v>
      </c>
      <c r="R71" s="164">
        <f t="shared" si="27"/>
        <v>5952</v>
      </c>
      <c r="S71" s="159"/>
      <c r="T71" s="87" t="s">
        <v>45</v>
      </c>
      <c r="U71" s="125">
        <f>$G$80</f>
        <v>496</v>
      </c>
      <c r="V71" s="128">
        <v>22.0</v>
      </c>
      <c r="W71" s="164">
        <f t="shared" si="28"/>
        <v>10912</v>
      </c>
    </row>
    <row r="72" ht="14.25" customHeight="1">
      <c r="A72" s="87"/>
      <c r="B72" s="129"/>
      <c r="C72" s="35">
        <v>106668.0</v>
      </c>
      <c r="D72" s="82" t="s">
        <v>252</v>
      </c>
      <c r="E72" s="82" t="s">
        <v>257</v>
      </c>
      <c r="F72" s="170"/>
      <c r="G72" s="83">
        <v>1888.0</v>
      </c>
      <c r="H72" s="97"/>
      <c r="I72" s="159"/>
      <c r="J72" s="87" t="s">
        <v>46</v>
      </c>
      <c r="K72" s="125">
        <f>$G$79</f>
        <v>496</v>
      </c>
      <c r="L72" s="126">
        <v>4.0</v>
      </c>
      <c r="M72" s="164">
        <f t="shared" si="26"/>
        <v>1984</v>
      </c>
      <c r="N72" s="159"/>
      <c r="O72" s="87" t="s">
        <v>46</v>
      </c>
      <c r="P72" s="125">
        <f>$G$79</f>
        <v>496</v>
      </c>
      <c r="Q72" s="126">
        <v>4.0</v>
      </c>
      <c r="R72" s="164">
        <f t="shared" si="27"/>
        <v>1984</v>
      </c>
      <c r="S72" s="159"/>
      <c r="T72" s="87" t="s">
        <v>46</v>
      </c>
      <c r="U72" s="125">
        <f>$G$79</f>
        <v>496</v>
      </c>
      <c r="V72" s="126">
        <v>4.0</v>
      </c>
      <c r="W72" s="164">
        <f t="shared" si="28"/>
        <v>1984</v>
      </c>
    </row>
    <row r="73" ht="14.25" customHeight="1">
      <c r="A73" s="87"/>
      <c r="B73" s="129"/>
      <c r="C73" s="35">
        <v>106709.0</v>
      </c>
      <c r="D73" s="82" t="s">
        <v>252</v>
      </c>
      <c r="E73" s="82" t="s">
        <v>258</v>
      </c>
      <c r="F73" s="170"/>
      <c r="G73" s="83">
        <v>4768.0</v>
      </c>
      <c r="H73" s="87"/>
      <c r="I73" s="159"/>
      <c r="J73" s="87" t="s">
        <v>47</v>
      </c>
      <c r="K73" s="125">
        <f>$G$9</f>
        <v>680</v>
      </c>
      <c r="L73" s="126">
        <v>4.0</v>
      </c>
      <c r="M73" s="164">
        <f t="shared" si="26"/>
        <v>2720</v>
      </c>
      <c r="N73" s="159"/>
      <c r="O73" s="87" t="s">
        <v>47</v>
      </c>
      <c r="P73" s="125">
        <f>$G$9</f>
        <v>680</v>
      </c>
      <c r="Q73" s="126">
        <v>4.0</v>
      </c>
      <c r="R73" s="164">
        <f t="shared" si="27"/>
        <v>2720</v>
      </c>
      <c r="S73" s="159"/>
      <c r="T73" s="87" t="s">
        <v>47</v>
      </c>
      <c r="U73" s="125">
        <f>$G$9</f>
        <v>680</v>
      </c>
      <c r="V73" s="126">
        <v>4.0</v>
      </c>
      <c r="W73" s="164">
        <f t="shared" si="28"/>
        <v>2720</v>
      </c>
    </row>
    <row r="74" ht="14.25" customHeight="1">
      <c r="A74" s="87"/>
      <c r="B74" s="129"/>
      <c r="C74" s="35">
        <v>107651.0</v>
      </c>
      <c r="D74" s="82" t="s">
        <v>252</v>
      </c>
      <c r="E74" s="82" t="s">
        <v>259</v>
      </c>
      <c r="F74" s="170"/>
      <c r="G74" s="83">
        <f>(698272/200)/(1-0.35)</f>
        <v>5371.323077</v>
      </c>
      <c r="H74" s="97"/>
      <c r="I74" s="159"/>
      <c r="J74" s="87" t="s">
        <v>48</v>
      </c>
      <c r="K74" s="125">
        <f>$G$10</f>
        <v>680</v>
      </c>
      <c r="L74" s="126">
        <v>4.0</v>
      </c>
      <c r="M74" s="164">
        <f t="shared" si="26"/>
        <v>2720</v>
      </c>
      <c r="N74" s="159"/>
      <c r="O74" s="87" t="s">
        <v>48</v>
      </c>
      <c r="P74" s="125">
        <f>$G$10</f>
        <v>680</v>
      </c>
      <c r="Q74" s="126">
        <v>4.0</v>
      </c>
      <c r="R74" s="164">
        <f t="shared" si="27"/>
        <v>2720</v>
      </c>
      <c r="S74" s="159"/>
      <c r="T74" s="87" t="s">
        <v>48</v>
      </c>
      <c r="U74" s="125">
        <f>$G$10</f>
        <v>680</v>
      </c>
      <c r="V74" s="126">
        <v>4.0</v>
      </c>
      <c r="W74" s="164">
        <f t="shared" si="28"/>
        <v>2720</v>
      </c>
    </row>
    <row r="75" ht="14.25" customHeight="1">
      <c r="A75" s="87"/>
      <c r="B75" s="129"/>
      <c r="C75" s="35">
        <v>106708.0</v>
      </c>
      <c r="D75" s="82" t="s">
        <v>252</v>
      </c>
      <c r="E75" s="82" t="s">
        <v>260</v>
      </c>
      <c r="F75" s="170"/>
      <c r="G75" s="83">
        <v>7024.0</v>
      </c>
      <c r="H75" s="87"/>
      <c r="I75" s="159"/>
      <c r="J75" s="87" t="s">
        <v>49</v>
      </c>
      <c r="K75" s="125">
        <f t="shared" ref="K75:K76" si="29">$H$96</f>
        <v>947.85</v>
      </c>
      <c r="L75" s="126">
        <v>30.0</v>
      </c>
      <c r="M75" s="164">
        <f t="shared" si="26"/>
        <v>28435.5</v>
      </c>
      <c r="N75" s="159"/>
      <c r="O75" s="87" t="s">
        <v>49</v>
      </c>
      <c r="P75" s="125">
        <f t="shared" ref="P75:P76" si="30">$H$96</f>
        <v>947.85</v>
      </c>
      <c r="Q75" s="126">
        <v>30.0</v>
      </c>
      <c r="R75" s="164">
        <f t="shared" si="27"/>
        <v>28435.5</v>
      </c>
      <c r="S75" s="159"/>
      <c r="T75" s="87" t="s">
        <v>49</v>
      </c>
      <c r="U75" s="125">
        <f t="shared" ref="U75:U76" si="31">$H$96</f>
        <v>947.85</v>
      </c>
      <c r="V75" s="126">
        <v>30.0</v>
      </c>
      <c r="W75" s="164">
        <f t="shared" si="28"/>
        <v>28435.5</v>
      </c>
    </row>
    <row r="76" ht="14.25" customHeight="1">
      <c r="A76" s="87"/>
      <c r="B76" s="129"/>
      <c r="C76" s="35">
        <v>107649.0</v>
      </c>
      <c r="D76" s="82" t="s">
        <v>252</v>
      </c>
      <c r="E76" s="82" t="s">
        <v>261</v>
      </c>
      <c r="F76" s="170"/>
      <c r="G76" s="83">
        <f>6903600/640/(1-0.2)</f>
        <v>13483.59375</v>
      </c>
      <c r="H76" s="87"/>
      <c r="I76" s="159"/>
      <c r="J76" s="87" t="s">
        <v>50</v>
      </c>
      <c r="K76" s="125">
        <f t="shared" si="29"/>
        <v>947.85</v>
      </c>
      <c r="L76" s="126">
        <v>30.0</v>
      </c>
      <c r="M76" s="164">
        <f t="shared" si="26"/>
        <v>28435.5</v>
      </c>
      <c r="N76" s="159"/>
      <c r="O76" s="87" t="s">
        <v>50</v>
      </c>
      <c r="P76" s="125">
        <f t="shared" si="30"/>
        <v>947.85</v>
      </c>
      <c r="Q76" s="126">
        <v>30.0</v>
      </c>
      <c r="R76" s="164">
        <f t="shared" si="27"/>
        <v>28435.5</v>
      </c>
      <c r="S76" s="159"/>
      <c r="T76" s="87" t="s">
        <v>50</v>
      </c>
      <c r="U76" s="125">
        <f t="shared" si="31"/>
        <v>947.85</v>
      </c>
      <c r="V76" s="126">
        <v>30.0</v>
      </c>
      <c r="W76" s="164">
        <f t="shared" si="28"/>
        <v>28435.5</v>
      </c>
    </row>
    <row r="77" ht="14.25" customHeight="1">
      <c r="A77" s="87"/>
      <c r="B77" s="129"/>
      <c r="C77" s="35">
        <v>107650.0</v>
      </c>
      <c r="D77" s="82" t="s">
        <v>252</v>
      </c>
      <c r="E77" s="82" t="s">
        <v>262</v>
      </c>
      <c r="F77" s="170"/>
      <c r="G77" s="83">
        <v>15611.613839285716</v>
      </c>
      <c r="H77" s="87"/>
      <c r="I77" s="159"/>
      <c r="L77" s="87" t="s">
        <v>236</v>
      </c>
      <c r="M77" s="164">
        <f>SUM(M61:M76)</f>
        <v>4237329.707</v>
      </c>
      <c r="N77" s="159"/>
      <c r="Q77" s="87" t="s">
        <v>236</v>
      </c>
      <c r="R77" s="164">
        <f>SUM(R61:R76)</f>
        <v>4178932.707</v>
      </c>
      <c r="S77" s="159"/>
      <c r="V77" s="87" t="s">
        <v>236</v>
      </c>
      <c r="W77" s="164">
        <f>SUM(W61:W76)</f>
        <v>4845876.561</v>
      </c>
    </row>
    <row r="78" ht="14.25" customHeight="1">
      <c r="A78" s="87"/>
      <c r="B78" s="129"/>
      <c r="C78" s="35">
        <v>106665.0</v>
      </c>
      <c r="D78" s="82" t="s">
        <v>252</v>
      </c>
      <c r="E78" s="82" t="s">
        <v>263</v>
      </c>
      <c r="F78" s="170"/>
      <c r="G78" s="83">
        <v>1200.0</v>
      </c>
      <c r="H78" s="87"/>
      <c r="I78" s="159"/>
      <c r="L78" s="87" t="s">
        <v>237</v>
      </c>
      <c r="M78" s="164">
        <f>M77*1.19</f>
        <v>5042422.352</v>
      </c>
      <c r="N78" s="159"/>
      <c r="Q78" s="87" t="s">
        <v>237</v>
      </c>
      <c r="R78" s="164">
        <f>R77*1.19</f>
        <v>4972929.922</v>
      </c>
      <c r="S78" s="159"/>
      <c r="V78" s="87" t="s">
        <v>237</v>
      </c>
      <c r="W78" s="164">
        <f>W77*1.19</f>
        <v>5766593.108</v>
      </c>
    </row>
    <row r="79" ht="14.25" customHeight="1">
      <c r="A79" s="87"/>
      <c r="B79" s="129"/>
      <c r="C79" s="35">
        <v>106664.0</v>
      </c>
      <c r="D79" s="82" t="s">
        <v>252</v>
      </c>
      <c r="E79" s="82" t="s">
        <v>264</v>
      </c>
      <c r="F79" s="82"/>
      <c r="G79" s="140">
        <v>496.0</v>
      </c>
      <c r="H79" s="97"/>
      <c r="I79" s="171"/>
      <c r="L79" s="87" t="s">
        <v>238</v>
      </c>
      <c r="M79" s="164">
        <f>M77*0.25</f>
        <v>1059332.427</v>
      </c>
      <c r="N79" s="171"/>
      <c r="Q79" s="87" t="s">
        <v>238</v>
      </c>
      <c r="R79" s="164">
        <f>R77*0.25</f>
        <v>1044733.177</v>
      </c>
      <c r="S79" s="171"/>
      <c r="V79" s="87" t="s">
        <v>238</v>
      </c>
      <c r="W79" s="164">
        <f>W77*0.25</f>
        <v>1211469.14</v>
      </c>
    </row>
    <row r="80" ht="14.25" customHeight="1">
      <c r="A80" s="87"/>
      <c r="B80" s="129"/>
      <c r="C80" s="35">
        <v>106707.0</v>
      </c>
      <c r="D80" s="82" t="s">
        <v>252</v>
      </c>
      <c r="E80" s="82" t="s">
        <v>265</v>
      </c>
      <c r="F80" s="82"/>
      <c r="G80" s="140">
        <v>496.0</v>
      </c>
      <c r="H80" s="97"/>
      <c r="I80" s="172"/>
      <c r="J80" s="173"/>
      <c r="K80" s="173"/>
      <c r="L80" s="174" t="s">
        <v>239</v>
      </c>
      <c r="M80" s="175">
        <f>M78+M79</f>
        <v>6101754.779</v>
      </c>
      <c r="N80" s="176"/>
      <c r="O80" s="177"/>
      <c r="P80" s="177"/>
      <c r="Q80" s="174" t="s">
        <v>239</v>
      </c>
      <c r="R80" s="175">
        <f>R78+R79</f>
        <v>6017663.099</v>
      </c>
      <c r="S80" s="176"/>
      <c r="T80" s="177"/>
      <c r="U80" s="177"/>
      <c r="V80" s="174" t="s">
        <v>239</v>
      </c>
      <c r="W80" s="175">
        <f>W78+W79</f>
        <v>6978062.248</v>
      </c>
    </row>
    <row r="81" ht="14.25" customHeight="1">
      <c r="A81" s="87"/>
      <c r="B81" s="129"/>
      <c r="C81" s="35">
        <v>106706.0</v>
      </c>
      <c r="D81" s="82" t="s">
        <v>252</v>
      </c>
      <c r="E81" s="82" t="s">
        <v>266</v>
      </c>
      <c r="F81" s="82"/>
      <c r="G81" s="140">
        <v>432.0</v>
      </c>
      <c r="H81" s="97"/>
      <c r="I81" s="125"/>
    </row>
    <row r="82" ht="14.25" customHeight="1">
      <c r="A82" s="87"/>
      <c r="B82" s="129"/>
      <c r="C82" s="122">
        <v>107682.0</v>
      </c>
      <c r="D82" s="82" t="s">
        <v>252</v>
      </c>
      <c r="E82" s="82" t="s">
        <v>267</v>
      </c>
      <c r="F82" s="82"/>
      <c r="G82" s="140">
        <v>18320.0</v>
      </c>
      <c r="H82" s="97"/>
      <c r="I82" s="150" t="s">
        <v>268</v>
      </c>
      <c r="J82" s="99"/>
      <c r="K82" s="99"/>
      <c r="L82" s="99"/>
      <c r="M82" s="100"/>
      <c r="N82" s="150" t="s">
        <v>269</v>
      </c>
      <c r="O82" s="99"/>
      <c r="P82" s="99"/>
      <c r="Q82" s="99"/>
      <c r="R82" s="100"/>
      <c r="S82" s="150" t="s">
        <v>270</v>
      </c>
      <c r="T82" s="99"/>
      <c r="U82" s="99"/>
      <c r="V82" s="99"/>
      <c r="W82" s="100"/>
    </row>
    <row r="83" ht="14.25" customHeight="1">
      <c r="A83" s="87"/>
      <c r="B83" s="129"/>
      <c r="C83" s="35">
        <v>107648.0</v>
      </c>
      <c r="D83" s="82" t="s">
        <v>252</v>
      </c>
      <c r="E83" s="82" t="s">
        <v>271</v>
      </c>
      <c r="F83" s="82"/>
      <c r="G83" s="140">
        <f>151/(1-0.2)</f>
        <v>188.75</v>
      </c>
      <c r="H83" s="87"/>
      <c r="I83" s="95"/>
      <c r="M83" s="101"/>
      <c r="N83" s="95"/>
      <c r="R83" s="101"/>
      <c r="S83" s="95"/>
      <c r="W83" s="101"/>
    </row>
    <row r="84" ht="14.25" customHeight="1">
      <c r="A84" s="87"/>
      <c r="B84" s="129"/>
      <c r="C84" s="35">
        <v>106704.0</v>
      </c>
      <c r="D84" s="82" t="s">
        <v>252</v>
      </c>
      <c r="E84" s="82" t="s">
        <v>272</v>
      </c>
      <c r="F84" s="82"/>
      <c r="G84" s="140">
        <v>240.0</v>
      </c>
      <c r="H84" s="97"/>
      <c r="I84" s="103"/>
      <c r="J84" s="104"/>
      <c r="K84" s="104"/>
      <c r="L84" s="104"/>
      <c r="M84" s="105"/>
      <c r="N84" s="103"/>
      <c r="O84" s="104"/>
      <c r="P84" s="104"/>
      <c r="Q84" s="104"/>
      <c r="R84" s="105"/>
      <c r="S84" s="103"/>
      <c r="T84" s="104"/>
      <c r="U84" s="104"/>
      <c r="V84" s="104"/>
      <c r="W84" s="105"/>
    </row>
    <row r="85" ht="14.25" customHeight="1">
      <c r="A85" s="87"/>
      <c r="B85" s="129"/>
      <c r="C85" s="35">
        <v>107681.0</v>
      </c>
      <c r="D85" s="108" t="s">
        <v>252</v>
      </c>
      <c r="E85" s="108" t="s">
        <v>44</v>
      </c>
      <c r="F85" s="109"/>
      <c r="G85" s="123">
        <v>2500.0</v>
      </c>
      <c r="H85" s="97"/>
      <c r="I85" s="151"/>
      <c r="J85" s="152"/>
      <c r="K85" s="153"/>
      <c r="L85" s="153"/>
      <c r="M85" s="154"/>
      <c r="N85" s="159"/>
      <c r="O85" s="178"/>
      <c r="R85" s="179"/>
      <c r="S85" s="159"/>
      <c r="T85" s="178"/>
      <c r="W85" s="179"/>
    </row>
    <row r="86" ht="14.25" customHeight="1">
      <c r="A86" s="87"/>
      <c r="B86" s="129"/>
      <c r="C86" s="35">
        <v>106702.0</v>
      </c>
      <c r="D86" s="82" t="s">
        <v>252</v>
      </c>
      <c r="E86" s="82" t="s">
        <v>273</v>
      </c>
      <c r="F86" s="170"/>
      <c r="G86" s="83">
        <v>250349.0</v>
      </c>
      <c r="H86" s="87"/>
      <c r="I86" s="159"/>
      <c r="L86" s="87" t="s">
        <v>221</v>
      </c>
      <c r="M86" s="160" t="s">
        <v>52</v>
      </c>
      <c r="N86" s="159"/>
      <c r="Q86" s="87" t="s">
        <v>221</v>
      </c>
      <c r="R86" s="160" t="s">
        <v>52</v>
      </c>
      <c r="S86" s="159"/>
      <c r="V86" s="87" t="s">
        <v>221</v>
      </c>
      <c r="W86" s="160" t="s">
        <v>52</v>
      </c>
    </row>
    <row r="87" ht="14.25" customHeight="1">
      <c r="A87" s="87"/>
      <c r="B87" s="129"/>
      <c r="C87" s="35">
        <v>106701.0</v>
      </c>
      <c r="D87" s="82" t="s">
        <v>252</v>
      </c>
      <c r="E87" s="82" t="s">
        <v>274</v>
      </c>
      <c r="F87" s="170"/>
      <c r="G87" s="83">
        <v>280349.0</v>
      </c>
      <c r="H87" s="87"/>
      <c r="I87" s="159" t="s">
        <v>62</v>
      </c>
      <c r="J87" s="124" t="s">
        <v>224</v>
      </c>
      <c r="K87" s="125">
        <f>$G$6</f>
        <v>105690.9512</v>
      </c>
      <c r="L87" s="128">
        <v>4.0</v>
      </c>
      <c r="M87" s="164">
        <f t="shared" ref="M87:M99" si="32">K87*L87</f>
        <v>422763.8049</v>
      </c>
      <c r="N87" s="159" t="s">
        <v>62</v>
      </c>
      <c r="O87" s="124" t="s">
        <v>224</v>
      </c>
      <c r="P87" s="125">
        <f>$G$6</f>
        <v>105690.9512</v>
      </c>
      <c r="Q87" s="126">
        <v>6.0</v>
      </c>
      <c r="R87" s="164">
        <f t="shared" ref="R87:R99" si="33">P87*Q87</f>
        <v>634145.7073</v>
      </c>
      <c r="S87" s="159" t="s">
        <v>62</v>
      </c>
      <c r="T87" s="124" t="s">
        <v>224</v>
      </c>
      <c r="U87" s="125">
        <f>$G$6</f>
        <v>105690.9512</v>
      </c>
      <c r="V87" s="128">
        <v>9.0</v>
      </c>
      <c r="W87" s="164">
        <f t="shared" ref="W87:W99" si="34">U87*V87</f>
        <v>951218.561</v>
      </c>
    </row>
    <row r="88" ht="14.25" customHeight="1">
      <c r="A88" s="87"/>
      <c r="B88" s="129"/>
      <c r="C88" s="35">
        <v>107542.0</v>
      </c>
      <c r="D88" s="82" t="s">
        <v>252</v>
      </c>
      <c r="E88" s="82" t="s">
        <v>275</v>
      </c>
      <c r="F88" s="170"/>
      <c r="G88" s="83">
        <v>356840.0</v>
      </c>
      <c r="H88" s="87"/>
      <c r="I88" s="159"/>
      <c r="J88" s="165" t="s">
        <v>147</v>
      </c>
      <c r="K88" s="166">
        <v>584397.0</v>
      </c>
      <c r="L88" s="126">
        <v>1.0</v>
      </c>
      <c r="M88" s="164">
        <f t="shared" si="32"/>
        <v>584397</v>
      </c>
      <c r="N88" s="159"/>
      <c r="O88" s="165" t="s">
        <v>14</v>
      </c>
      <c r="P88" s="166">
        <v>526000.0</v>
      </c>
      <c r="Q88" s="126">
        <v>1.0</v>
      </c>
      <c r="R88" s="164">
        <f t="shared" si="33"/>
        <v>526000</v>
      </c>
      <c r="S88" s="159"/>
      <c r="T88" s="165" t="s">
        <v>150</v>
      </c>
      <c r="U88" s="166">
        <v>822671.0</v>
      </c>
      <c r="V88" s="126">
        <v>1.0</v>
      </c>
      <c r="W88" s="164">
        <f t="shared" si="34"/>
        <v>822671</v>
      </c>
    </row>
    <row r="89" ht="14.25" customHeight="1">
      <c r="A89" s="87"/>
      <c r="B89" s="129"/>
      <c r="C89" s="35">
        <v>107541.0</v>
      </c>
      <c r="D89" s="82" t="s">
        <v>252</v>
      </c>
      <c r="E89" s="82" t="s">
        <v>276</v>
      </c>
      <c r="F89" s="170"/>
      <c r="G89" s="83">
        <f>207612/(1-0.45)</f>
        <v>377476.3636</v>
      </c>
      <c r="H89" s="87"/>
      <c r="I89" s="159"/>
      <c r="J89" s="168" t="s">
        <v>27</v>
      </c>
      <c r="K89" s="166">
        <v>63044.0</v>
      </c>
      <c r="L89" s="126">
        <v>1.0</v>
      </c>
      <c r="M89" s="164">
        <f t="shared" si="32"/>
        <v>63044</v>
      </c>
      <c r="N89" s="159"/>
      <c r="O89" s="168" t="s">
        <v>27</v>
      </c>
      <c r="P89" s="166">
        <v>63044.0</v>
      </c>
      <c r="Q89" s="126">
        <v>1.0</v>
      </c>
      <c r="R89" s="164">
        <f t="shared" si="33"/>
        <v>63044</v>
      </c>
      <c r="S89" s="159"/>
      <c r="T89" s="168" t="s">
        <v>27</v>
      </c>
      <c r="U89" s="166">
        <v>63044.0</v>
      </c>
      <c r="V89" s="126">
        <v>1.0</v>
      </c>
      <c r="W89" s="164">
        <f t="shared" si="34"/>
        <v>63044</v>
      </c>
    </row>
    <row r="90" ht="14.25" customHeight="1">
      <c r="A90" s="87"/>
      <c r="B90" s="129"/>
      <c r="C90" s="35">
        <v>106700.0</v>
      </c>
      <c r="D90" s="82" t="s">
        <v>252</v>
      </c>
      <c r="E90" s="82" t="s">
        <v>277</v>
      </c>
      <c r="F90" s="170"/>
      <c r="G90" s="83">
        <v>1472.0</v>
      </c>
      <c r="H90" s="87"/>
      <c r="I90" s="159"/>
      <c r="J90" s="168" t="s">
        <v>28</v>
      </c>
      <c r="K90" s="166">
        <v>56485.0</v>
      </c>
      <c r="L90" s="126">
        <v>1.0</v>
      </c>
      <c r="M90" s="164">
        <f t="shared" si="32"/>
        <v>56485</v>
      </c>
      <c r="N90" s="159"/>
      <c r="O90" s="168" t="s">
        <v>28</v>
      </c>
      <c r="P90" s="166">
        <v>56485.0</v>
      </c>
      <c r="Q90" s="126">
        <v>1.0</v>
      </c>
      <c r="R90" s="164">
        <f t="shared" si="33"/>
        <v>56485</v>
      </c>
      <c r="S90" s="159"/>
      <c r="T90" s="168" t="s">
        <v>28</v>
      </c>
      <c r="U90" s="166">
        <v>56485.0</v>
      </c>
      <c r="V90" s="126">
        <v>1.0</v>
      </c>
      <c r="W90" s="164">
        <f t="shared" si="34"/>
        <v>56485</v>
      </c>
    </row>
    <row r="91" ht="14.25" customHeight="1">
      <c r="A91" s="87"/>
      <c r="B91" s="129"/>
      <c r="C91" s="35">
        <v>106699.0</v>
      </c>
      <c r="D91" s="82" t="s">
        <v>252</v>
      </c>
      <c r="E91" s="82" t="s">
        <v>278</v>
      </c>
      <c r="F91" s="170"/>
      <c r="G91" s="83">
        <v>432.0</v>
      </c>
      <c r="H91" s="87"/>
      <c r="I91" s="159"/>
      <c r="J91" s="87" t="s">
        <v>42</v>
      </c>
      <c r="K91" s="125">
        <f>$G$82</f>
        <v>18320</v>
      </c>
      <c r="L91" s="126">
        <v>3.0</v>
      </c>
      <c r="M91" s="164">
        <f t="shared" si="32"/>
        <v>54960</v>
      </c>
      <c r="N91" s="159"/>
      <c r="O91" s="87" t="s">
        <v>42</v>
      </c>
      <c r="P91" s="125">
        <f>$G$82</f>
        <v>18320</v>
      </c>
      <c r="Q91" s="126">
        <v>3.0</v>
      </c>
      <c r="R91" s="164">
        <f t="shared" si="33"/>
        <v>54960</v>
      </c>
      <c r="S91" s="159"/>
      <c r="T91" s="87" t="s">
        <v>42</v>
      </c>
      <c r="U91" s="125">
        <f>$G$82</f>
        <v>18320</v>
      </c>
      <c r="V91" s="128">
        <v>5.0</v>
      </c>
      <c r="W91" s="164">
        <f t="shared" si="34"/>
        <v>91600</v>
      </c>
    </row>
    <row r="92" ht="14.25" customHeight="1">
      <c r="A92" s="87"/>
      <c r="B92" s="129"/>
      <c r="C92" s="35">
        <v>106720.0</v>
      </c>
      <c r="D92" s="82" t="s">
        <v>252</v>
      </c>
      <c r="E92" s="82" t="s">
        <v>279</v>
      </c>
      <c r="F92" s="170"/>
      <c r="G92" s="83">
        <v>43333.0</v>
      </c>
      <c r="H92" s="87"/>
      <c r="I92" s="159"/>
      <c r="J92" s="87" t="s">
        <v>43</v>
      </c>
      <c r="K92" s="125">
        <f>$G$69</f>
        <v>1100</v>
      </c>
      <c r="L92" s="126">
        <v>10.0</v>
      </c>
      <c r="M92" s="164">
        <f t="shared" si="32"/>
        <v>11000</v>
      </c>
      <c r="N92" s="159"/>
      <c r="O92" s="87" t="s">
        <v>43</v>
      </c>
      <c r="P92" s="125">
        <f>$G$69</f>
        <v>1100</v>
      </c>
      <c r="Q92" s="126">
        <v>10.0</v>
      </c>
      <c r="R92" s="164">
        <f t="shared" si="33"/>
        <v>11000</v>
      </c>
      <c r="S92" s="159"/>
      <c r="T92" s="87" t="s">
        <v>43</v>
      </c>
      <c r="U92" s="125">
        <f>$G$69</f>
        <v>1100</v>
      </c>
      <c r="V92" s="128">
        <v>16.0</v>
      </c>
      <c r="W92" s="164">
        <f t="shared" si="34"/>
        <v>17600</v>
      </c>
    </row>
    <row r="93" ht="14.25" customHeight="1">
      <c r="A93" s="87"/>
      <c r="B93" s="129"/>
      <c r="C93" s="35">
        <v>106718.0</v>
      </c>
      <c r="D93" s="82" t="s">
        <v>252</v>
      </c>
      <c r="E93" s="82" t="s">
        <v>280</v>
      </c>
      <c r="F93" s="170"/>
      <c r="G93" s="83">
        <v>496.0</v>
      </c>
      <c r="H93" s="87"/>
      <c r="I93" s="159"/>
      <c r="J93" s="87" t="s">
        <v>44</v>
      </c>
      <c r="K93" s="125">
        <f>$G$85</f>
        <v>2500</v>
      </c>
      <c r="L93" s="87">
        <v>4.0</v>
      </c>
      <c r="M93" s="164">
        <f t="shared" si="32"/>
        <v>10000</v>
      </c>
      <c r="N93" s="159"/>
      <c r="O93" s="87" t="s">
        <v>44</v>
      </c>
      <c r="P93" s="125">
        <f>$G$85</f>
        <v>2500</v>
      </c>
      <c r="Q93" s="87">
        <v>4.0</v>
      </c>
      <c r="R93" s="164">
        <f t="shared" si="33"/>
        <v>10000</v>
      </c>
      <c r="S93" s="159"/>
      <c r="T93" s="87" t="s">
        <v>44</v>
      </c>
      <c r="U93" s="125">
        <f>$G$85</f>
        <v>2500</v>
      </c>
      <c r="V93" s="87">
        <v>4.0</v>
      </c>
      <c r="W93" s="164">
        <f t="shared" si="34"/>
        <v>10000</v>
      </c>
    </row>
    <row r="94" ht="14.25" customHeight="1">
      <c r="A94" s="87"/>
      <c r="B94" s="129"/>
      <c r="C94" s="35">
        <v>106719.0</v>
      </c>
      <c r="D94" s="82" t="s">
        <v>252</v>
      </c>
      <c r="E94" s="82" t="s">
        <v>281</v>
      </c>
      <c r="F94" s="170"/>
      <c r="G94" s="83">
        <v>736.0</v>
      </c>
      <c r="H94" s="87"/>
      <c r="I94" s="159"/>
      <c r="J94" s="87" t="s">
        <v>45</v>
      </c>
      <c r="K94" s="125">
        <f>$G$80</f>
        <v>496</v>
      </c>
      <c r="L94" s="126">
        <v>12.0</v>
      </c>
      <c r="M94" s="164">
        <f t="shared" si="32"/>
        <v>5952</v>
      </c>
      <c r="N94" s="159"/>
      <c r="O94" s="87" t="s">
        <v>45</v>
      </c>
      <c r="P94" s="125">
        <f>$G$80</f>
        <v>496</v>
      </c>
      <c r="Q94" s="126">
        <v>12.0</v>
      </c>
      <c r="R94" s="164">
        <f t="shared" si="33"/>
        <v>5952</v>
      </c>
      <c r="S94" s="159"/>
      <c r="T94" s="87" t="s">
        <v>45</v>
      </c>
      <c r="U94" s="125">
        <f>$G$80</f>
        <v>496</v>
      </c>
      <c r="V94" s="128">
        <v>22.0</v>
      </c>
      <c r="W94" s="164">
        <f t="shared" si="34"/>
        <v>10912</v>
      </c>
    </row>
    <row r="95" ht="14.25" customHeight="1">
      <c r="A95" s="87"/>
      <c r="B95" s="129"/>
      <c r="C95" s="180">
        <v>106717.0</v>
      </c>
      <c r="D95" s="157" t="s">
        <v>252</v>
      </c>
      <c r="E95" s="157" t="s">
        <v>282</v>
      </c>
      <c r="F95" s="181"/>
      <c r="G95" s="158">
        <v>3040.0</v>
      </c>
      <c r="H95" s="87"/>
      <c r="I95" s="159"/>
      <c r="J95" s="87" t="s">
        <v>46</v>
      </c>
      <c r="K95" s="125">
        <f>$G$79</f>
        <v>496</v>
      </c>
      <c r="L95" s="126">
        <v>4.0</v>
      </c>
      <c r="M95" s="164">
        <f t="shared" si="32"/>
        <v>1984</v>
      </c>
      <c r="N95" s="159"/>
      <c r="O95" s="87" t="s">
        <v>46</v>
      </c>
      <c r="P95" s="125">
        <f>$G$79</f>
        <v>496</v>
      </c>
      <c r="Q95" s="126">
        <v>4.0</v>
      </c>
      <c r="R95" s="164">
        <f t="shared" si="33"/>
        <v>1984</v>
      </c>
      <c r="S95" s="159"/>
      <c r="T95" s="87" t="s">
        <v>46</v>
      </c>
      <c r="U95" s="125">
        <f>$G$79</f>
        <v>496</v>
      </c>
      <c r="V95" s="126">
        <v>4.0</v>
      </c>
      <c r="W95" s="164">
        <f t="shared" si="34"/>
        <v>1984</v>
      </c>
    </row>
    <row r="96" ht="14.25" customHeight="1">
      <c r="A96" s="87"/>
      <c r="B96" s="182" t="s">
        <v>283</v>
      </c>
      <c r="C96" s="162">
        <v>106745.0</v>
      </c>
      <c r="D96" s="93" t="s">
        <v>284</v>
      </c>
      <c r="E96" s="93" t="s">
        <v>285</v>
      </c>
      <c r="F96" s="93"/>
      <c r="G96" s="94">
        <v>47392.5</v>
      </c>
      <c r="H96" s="125">
        <f>G96/50</f>
        <v>947.85</v>
      </c>
      <c r="I96" s="159"/>
      <c r="J96" s="87" t="s">
        <v>47</v>
      </c>
      <c r="K96" s="125">
        <f>$G$9</f>
        <v>680</v>
      </c>
      <c r="L96" s="126">
        <v>4.0</v>
      </c>
      <c r="M96" s="164">
        <f t="shared" si="32"/>
        <v>2720</v>
      </c>
      <c r="N96" s="159"/>
      <c r="O96" s="87" t="s">
        <v>47</v>
      </c>
      <c r="P96" s="125">
        <f>$G$9</f>
        <v>680</v>
      </c>
      <c r="Q96" s="126">
        <v>4.0</v>
      </c>
      <c r="R96" s="164">
        <f t="shared" si="33"/>
        <v>2720</v>
      </c>
      <c r="S96" s="159"/>
      <c r="T96" s="87" t="s">
        <v>47</v>
      </c>
      <c r="U96" s="125">
        <f>$G$9</f>
        <v>680</v>
      </c>
      <c r="V96" s="126">
        <v>4.0</v>
      </c>
      <c r="W96" s="164">
        <f t="shared" si="34"/>
        <v>2720</v>
      </c>
    </row>
    <row r="97" ht="14.25" customHeight="1">
      <c r="A97" s="87"/>
      <c r="B97" s="129"/>
      <c r="C97" s="35">
        <v>106746.0</v>
      </c>
      <c r="D97" s="82" t="s">
        <v>284</v>
      </c>
      <c r="E97" s="82" t="s">
        <v>286</v>
      </c>
      <c r="F97" s="82"/>
      <c r="G97" s="83">
        <v>47392.5</v>
      </c>
      <c r="H97" s="87"/>
      <c r="I97" s="159"/>
      <c r="J97" s="87" t="s">
        <v>48</v>
      </c>
      <c r="K97" s="125">
        <f>$G$10</f>
        <v>680</v>
      </c>
      <c r="L97" s="126">
        <v>4.0</v>
      </c>
      <c r="M97" s="164">
        <f t="shared" si="32"/>
        <v>2720</v>
      </c>
      <c r="N97" s="159"/>
      <c r="O97" s="87" t="s">
        <v>48</v>
      </c>
      <c r="P97" s="125">
        <f>$G$10</f>
        <v>680</v>
      </c>
      <c r="Q97" s="126">
        <v>4.0</v>
      </c>
      <c r="R97" s="164">
        <f t="shared" si="33"/>
        <v>2720</v>
      </c>
      <c r="S97" s="159"/>
      <c r="T97" s="87" t="s">
        <v>48</v>
      </c>
      <c r="U97" s="125">
        <f>$G$10</f>
        <v>680</v>
      </c>
      <c r="V97" s="126">
        <v>4.0</v>
      </c>
      <c r="W97" s="164">
        <f t="shared" si="34"/>
        <v>2720</v>
      </c>
    </row>
    <row r="98" ht="14.25" customHeight="1">
      <c r="A98" s="87"/>
      <c r="B98" s="129"/>
      <c r="C98" s="35">
        <v>106747.0</v>
      </c>
      <c r="D98" s="82" t="s">
        <v>284</v>
      </c>
      <c r="E98" s="82" t="s">
        <v>287</v>
      </c>
      <c r="F98" s="82"/>
      <c r="G98" s="83">
        <v>80682.12499999999</v>
      </c>
      <c r="H98" s="87"/>
      <c r="I98" s="159"/>
      <c r="J98" s="87" t="s">
        <v>49</v>
      </c>
      <c r="K98" s="125">
        <f t="shared" ref="K98:K99" si="35">$H$96</f>
        <v>947.85</v>
      </c>
      <c r="L98" s="126">
        <v>30.0</v>
      </c>
      <c r="M98" s="164">
        <f t="shared" si="32"/>
        <v>28435.5</v>
      </c>
      <c r="N98" s="159"/>
      <c r="O98" s="87" t="s">
        <v>49</v>
      </c>
      <c r="P98" s="125">
        <f t="shared" ref="P98:P99" si="36">$H$96</f>
        <v>947.85</v>
      </c>
      <c r="Q98" s="126">
        <v>30.0</v>
      </c>
      <c r="R98" s="164">
        <f t="shared" si="33"/>
        <v>28435.5</v>
      </c>
      <c r="S98" s="159"/>
      <c r="T98" s="87" t="s">
        <v>49</v>
      </c>
      <c r="U98" s="125">
        <f t="shared" ref="U98:U99" si="37">$H$96</f>
        <v>947.85</v>
      </c>
      <c r="V98" s="126">
        <v>30.0</v>
      </c>
      <c r="W98" s="164">
        <f t="shared" si="34"/>
        <v>28435.5</v>
      </c>
    </row>
    <row r="99" ht="14.25" customHeight="1">
      <c r="A99" s="87"/>
      <c r="B99" s="129"/>
      <c r="C99" s="35">
        <v>106748.0</v>
      </c>
      <c r="D99" s="82" t="s">
        <v>284</v>
      </c>
      <c r="E99" s="82" t="s">
        <v>288</v>
      </c>
      <c r="F99" s="82"/>
      <c r="G99" s="83">
        <v>80606.41129032258</v>
      </c>
      <c r="H99" s="87"/>
      <c r="I99" s="159"/>
      <c r="J99" s="87" t="s">
        <v>50</v>
      </c>
      <c r="K99" s="125">
        <f t="shared" si="35"/>
        <v>947.85</v>
      </c>
      <c r="L99" s="126">
        <v>30.0</v>
      </c>
      <c r="M99" s="164">
        <f t="shared" si="32"/>
        <v>28435.5</v>
      </c>
      <c r="N99" s="159"/>
      <c r="O99" s="87" t="s">
        <v>50</v>
      </c>
      <c r="P99" s="125">
        <f t="shared" si="36"/>
        <v>947.85</v>
      </c>
      <c r="Q99" s="126">
        <v>30.0</v>
      </c>
      <c r="R99" s="164">
        <f t="shared" si="33"/>
        <v>28435.5</v>
      </c>
      <c r="S99" s="159"/>
      <c r="T99" s="87" t="s">
        <v>50</v>
      </c>
      <c r="U99" s="125">
        <f t="shared" si="37"/>
        <v>947.85</v>
      </c>
      <c r="V99" s="126">
        <v>30.0</v>
      </c>
      <c r="W99" s="164">
        <f t="shared" si="34"/>
        <v>28435.5</v>
      </c>
    </row>
    <row r="100" ht="14.25" customHeight="1">
      <c r="A100" s="87"/>
      <c r="B100" s="129"/>
      <c r="C100" s="35">
        <v>106749.0</v>
      </c>
      <c r="D100" s="82" t="s">
        <v>284</v>
      </c>
      <c r="E100" s="82" t="s">
        <v>289</v>
      </c>
      <c r="F100" s="82"/>
      <c r="G100" s="83">
        <v>27238.21875</v>
      </c>
      <c r="H100" s="87"/>
      <c r="I100" s="159"/>
      <c r="L100" s="87" t="s">
        <v>236</v>
      </c>
      <c r="M100" s="164">
        <f>SUM(M87:M99)</f>
        <v>1272896.805</v>
      </c>
      <c r="N100" s="159"/>
      <c r="Q100" s="87" t="s">
        <v>236</v>
      </c>
      <c r="R100" s="164">
        <f>SUM(R87:R99)</f>
        <v>1425881.707</v>
      </c>
      <c r="S100" s="159"/>
      <c r="V100" s="87" t="s">
        <v>236</v>
      </c>
      <c r="W100" s="164">
        <f>SUM(W87:W99)</f>
        <v>2087825.561</v>
      </c>
    </row>
    <row r="101" ht="14.25" customHeight="1">
      <c r="A101" s="87"/>
      <c r="B101" s="129"/>
      <c r="C101" s="35">
        <v>106750.0</v>
      </c>
      <c r="D101" s="82" t="s">
        <v>284</v>
      </c>
      <c r="E101" s="82" t="s">
        <v>290</v>
      </c>
      <c r="F101" s="82"/>
      <c r="G101" s="83">
        <v>27224.970238095237</v>
      </c>
      <c r="H101" s="87"/>
      <c r="I101" s="159"/>
      <c r="L101" s="87" t="s">
        <v>237</v>
      </c>
      <c r="M101" s="164">
        <f>M100*1.19</f>
        <v>1514747.198</v>
      </c>
      <c r="N101" s="159"/>
      <c r="Q101" s="87" t="s">
        <v>237</v>
      </c>
      <c r="R101" s="164">
        <f>R100*1.19</f>
        <v>1696799.232</v>
      </c>
      <c r="S101" s="159"/>
      <c r="V101" s="87" t="s">
        <v>237</v>
      </c>
      <c r="W101" s="164">
        <f>W100*1.19</f>
        <v>2484512.418</v>
      </c>
    </row>
    <row r="102" ht="14.25" customHeight="1">
      <c r="A102" s="87"/>
      <c r="B102" s="129"/>
      <c r="C102" s="35">
        <v>106751.0</v>
      </c>
      <c r="D102" s="82" t="s">
        <v>284</v>
      </c>
      <c r="E102" s="82" t="s">
        <v>291</v>
      </c>
      <c r="F102" s="82"/>
      <c r="G102" s="83">
        <v>70132.8125</v>
      </c>
      <c r="H102" s="87"/>
      <c r="I102" s="171"/>
      <c r="L102" s="87" t="s">
        <v>238</v>
      </c>
      <c r="M102" s="164">
        <f>M100*0.25</f>
        <v>318224.2012</v>
      </c>
      <c r="N102" s="171"/>
      <c r="Q102" s="87" t="s">
        <v>238</v>
      </c>
      <c r="R102" s="164">
        <f>R100*0.25</f>
        <v>356470.4268</v>
      </c>
      <c r="S102" s="171"/>
      <c r="V102" s="87" t="s">
        <v>238</v>
      </c>
      <c r="W102" s="164">
        <f>W100*0.25</f>
        <v>521956.3902</v>
      </c>
    </row>
    <row r="103" ht="14.25" customHeight="1">
      <c r="A103" s="87"/>
      <c r="B103" s="129"/>
      <c r="C103" s="35">
        <v>106752.0</v>
      </c>
      <c r="D103" s="82" t="s">
        <v>284</v>
      </c>
      <c r="E103" s="82" t="s">
        <v>292</v>
      </c>
      <c r="F103" s="82"/>
      <c r="G103" s="83">
        <v>68871.96428571428</v>
      </c>
      <c r="H103" s="87"/>
      <c r="I103" s="172"/>
      <c r="J103" s="173"/>
      <c r="K103" s="177"/>
      <c r="L103" s="174" t="s">
        <v>239</v>
      </c>
      <c r="M103" s="175">
        <f>M101+M102</f>
        <v>1832971.399</v>
      </c>
      <c r="N103" s="176"/>
      <c r="O103" s="177"/>
      <c r="P103" s="177"/>
      <c r="Q103" s="174" t="s">
        <v>239</v>
      </c>
      <c r="R103" s="175">
        <f>R101+R102</f>
        <v>2053269.659</v>
      </c>
      <c r="S103" s="176"/>
      <c r="T103" s="177"/>
      <c r="U103" s="177"/>
      <c r="V103" s="174" t="s">
        <v>239</v>
      </c>
      <c r="W103" s="175">
        <f>W101+W102</f>
        <v>3006468.808</v>
      </c>
    </row>
    <row r="104" ht="14.25" customHeight="1">
      <c r="A104" s="87"/>
      <c r="B104" s="129"/>
      <c r="C104" s="35">
        <v>107810.0</v>
      </c>
      <c r="D104" s="82" t="s">
        <v>284</v>
      </c>
      <c r="E104" s="82" t="s">
        <v>293</v>
      </c>
      <c r="F104" s="82"/>
      <c r="G104" s="83">
        <v>145329.33333333334</v>
      </c>
      <c r="H104" s="87"/>
    </row>
    <row r="105" ht="14.25" customHeight="1">
      <c r="A105" s="87"/>
      <c r="B105" s="129"/>
      <c r="C105" s="35">
        <v>107809.0</v>
      </c>
      <c r="D105" s="82" t="s">
        <v>284</v>
      </c>
      <c r="E105" s="82" t="s">
        <v>294</v>
      </c>
      <c r="F105" s="82"/>
      <c r="G105" s="83">
        <v>145329.33333333334</v>
      </c>
      <c r="H105" s="87"/>
    </row>
    <row r="106" ht="14.25" customHeight="1">
      <c r="A106" s="87"/>
      <c r="B106" s="129"/>
      <c r="C106" s="35">
        <v>107807.0</v>
      </c>
      <c r="D106" s="82" t="s">
        <v>284</v>
      </c>
      <c r="E106" s="82" t="s">
        <v>295</v>
      </c>
      <c r="F106" s="82"/>
      <c r="G106" s="83">
        <v>173797.33333333334</v>
      </c>
      <c r="H106" s="87"/>
    </row>
    <row r="107" ht="14.25" customHeight="1">
      <c r="A107" s="87"/>
      <c r="B107" s="129"/>
      <c r="C107" s="35">
        <v>107808.0</v>
      </c>
      <c r="D107" s="82" t="s">
        <v>284</v>
      </c>
      <c r="E107" s="82" t="s">
        <v>296</v>
      </c>
      <c r="F107" s="82"/>
      <c r="G107" s="83">
        <v>173797.33333333334</v>
      </c>
      <c r="H107" s="87"/>
      <c r="I107" s="87"/>
    </row>
    <row r="108" ht="14.25" customHeight="1">
      <c r="A108" s="87"/>
      <c r="B108" s="129"/>
      <c r="C108" s="35">
        <v>107804.0</v>
      </c>
      <c r="D108" s="82" t="s">
        <v>284</v>
      </c>
      <c r="E108" s="82" t="s">
        <v>297</v>
      </c>
      <c r="F108" s="82"/>
      <c r="G108" s="83">
        <v>483573.75</v>
      </c>
      <c r="H108" s="87"/>
      <c r="I108" s="87"/>
    </row>
    <row r="109" ht="14.25" customHeight="1">
      <c r="A109" s="87"/>
      <c r="B109" s="129"/>
      <c r="C109" s="139">
        <v>107819.0</v>
      </c>
      <c r="D109" s="82" t="s">
        <v>284</v>
      </c>
      <c r="E109" s="35" t="s">
        <v>298</v>
      </c>
      <c r="F109" s="82"/>
      <c r="G109" s="83">
        <v>483573.75</v>
      </c>
      <c r="H109" s="87"/>
      <c r="I109" s="87"/>
    </row>
    <row r="110" ht="14.25" customHeight="1">
      <c r="A110" s="87"/>
      <c r="B110" s="129"/>
      <c r="C110" s="139">
        <v>107805.0</v>
      </c>
      <c r="D110" s="35" t="s">
        <v>284</v>
      </c>
      <c r="E110" s="82" t="s">
        <v>299</v>
      </c>
      <c r="F110" s="35"/>
      <c r="G110" s="83">
        <v>5001.333333333333</v>
      </c>
      <c r="H110" s="87"/>
      <c r="I110" s="87"/>
    </row>
    <row r="111" ht="14.25" customHeight="1">
      <c r="A111" s="87"/>
      <c r="B111" s="183"/>
      <c r="C111" s="84">
        <v>107806.0</v>
      </c>
      <c r="D111" s="85" t="s">
        <v>284</v>
      </c>
      <c r="E111" s="85" t="s">
        <v>300</v>
      </c>
      <c r="F111" s="84"/>
      <c r="G111" s="86">
        <v>81510.0</v>
      </c>
      <c r="H111" s="87"/>
      <c r="I111" s="87"/>
    </row>
    <row r="112" ht="14.25" customHeight="1">
      <c r="A112" s="87"/>
      <c r="B112" s="87"/>
      <c r="C112" s="97"/>
      <c r="D112" s="87"/>
      <c r="E112" s="87"/>
      <c r="F112" s="87"/>
      <c r="G112" s="87"/>
      <c r="H112" s="87"/>
      <c r="I112" s="87"/>
    </row>
    <row r="113" ht="14.25" customHeight="1">
      <c r="A113" s="87"/>
      <c r="B113" s="87"/>
      <c r="C113" s="87"/>
      <c r="D113" s="87"/>
      <c r="E113" s="87"/>
      <c r="F113" s="87"/>
      <c r="G113" s="87"/>
      <c r="H113" s="87"/>
      <c r="I113" s="87"/>
    </row>
    <row r="114" ht="14.25" customHeight="1">
      <c r="A114" s="87"/>
      <c r="B114" s="87"/>
      <c r="C114" s="87"/>
      <c r="D114" s="87"/>
      <c r="E114" s="87"/>
      <c r="F114" s="87"/>
      <c r="G114" s="87"/>
      <c r="H114" s="87"/>
      <c r="I114" s="87"/>
    </row>
    <row r="115" ht="14.25" customHeight="1">
      <c r="A115" s="87"/>
      <c r="B115" s="87"/>
      <c r="C115" s="87"/>
      <c r="D115" s="87"/>
      <c r="E115" s="87"/>
      <c r="F115" s="87"/>
      <c r="G115" s="87"/>
      <c r="H115" s="87"/>
      <c r="I115" s="87"/>
    </row>
    <row r="116" ht="14.25" customHeight="1">
      <c r="A116" s="87"/>
      <c r="B116" s="87"/>
      <c r="C116" s="87"/>
      <c r="D116" s="87"/>
      <c r="E116" s="87"/>
      <c r="F116" s="87"/>
      <c r="G116" s="87"/>
      <c r="H116" s="87"/>
      <c r="I116" s="87"/>
    </row>
    <row r="117" ht="14.25" customHeight="1">
      <c r="A117" s="87"/>
      <c r="B117" s="87"/>
      <c r="C117" s="87"/>
      <c r="D117" s="87"/>
      <c r="E117" s="87"/>
      <c r="F117" s="87"/>
      <c r="G117" s="87"/>
      <c r="H117" s="87"/>
      <c r="I117" s="87"/>
    </row>
    <row r="118" ht="14.25" customHeight="1">
      <c r="A118" s="87"/>
      <c r="B118" s="87"/>
      <c r="C118" s="87"/>
      <c r="D118" s="87"/>
      <c r="E118" s="87"/>
      <c r="F118" s="87"/>
      <c r="G118" s="87"/>
      <c r="H118" s="87"/>
      <c r="I118" s="87"/>
    </row>
    <row r="119" ht="14.25" customHeight="1">
      <c r="A119" s="87"/>
      <c r="B119" s="87"/>
      <c r="C119" s="87"/>
      <c r="D119" s="87"/>
      <c r="E119" s="87"/>
      <c r="F119" s="87"/>
      <c r="G119" s="87"/>
      <c r="H119" s="87"/>
      <c r="I119" s="87"/>
    </row>
    <row r="120" ht="14.25" customHeight="1">
      <c r="A120" s="87"/>
      <c r="B120" s="87"/>
      <c r="C120" s="87"/>
      <c r="D120" s="87"/>
      <c r="E120" s="87"/>
      <c r="F120" s="87"/>
      <c r="G120" s="87"/>
      <c r="H120" s="87"/>
      <c r="I120" s="87"/>
    </row>
    <row r="121" ht="14.25" customHeight="1">
      <c r="A121" s="87"/>
      <c r="B121" s="87"/>
      <c r="C121" s="87"/>
      <c r="D121" s="87"/>
      <c r="E121" s="87"/>
      <c r="F121" s="87"/>
      <c r="G121" s="87"/>
      <c r="H121" s="87"/>
      <c r="I121" s="87"/>
    </row>
    <row r="122" ht="14.25" customHeight="1">
      <c r="A122" s="87"/>
      <c r="B122" s="87"/>
      <c r="C122" s="87"/>
      <c r="D122" s="87"/>
      <c r="E122" s="87"/>
      <c r="F122" s="87"/>
      <c r="G122" s="87"/>
      <c r="H122" s="87"/>
      <c r="I122" s="87"/>
    </row>
    <row r="123" ht="14.25" customHeight="1">
      <c r="A123" s="87"/>
      <c r="B123" s="87"/>
      <c r="C123" s="87"/>
      <c r="D123" s="87"/>
      <c r="E123" s="87"/>
      <c r="F123" s="87"/>
      <c r="G123" s="87"/>
      <c r="H123" s="87"/>
      <c r="I123" s="87"/>
    </row>
    <row r="124" ht="14.25" customHeight="1">
      <c r="A124" s="87"/>
      <c r="B124" s="87"/>
      <c r="C124" s="87"/>
      <c r="D124" s="87"/>
      <c r="E124" s="87"/>
      <c r="F124" s="87"/>
      <c r="G124" s="87"/>
      <c r="H124" s="87"/>
      <c r="I124" s="87"/>
    </row>
    <row r="125" ht="14.25" customHeight="1">
      <c r="A125" s="87"/>
      <c r="B125" s="87"/>
      <c r="C125" s="87"/>
      <c r="D125" s="87"/>
      <c r="E125" s="87"/>
      <c r="F125" s="87"/>
      <c r="G125" s="87"/>
      <c r="H125" s="87"/>
      <c r="I125" s="87"/>
    </row>
    <row r="126" ht="14.25" customHeight="1">
      <c r="A126" s="87"/>
      <c r="B126" s="87"/>
      <c r="C126" s="87"/>
      <c r="D126" s="87"/>
      <c r="E126" s="87"/>
      <c r="F126" s="87"/>
      <c r="G126" s="87"/>
      <c r="H126" s="87"/>
      <c r="I126" s="87"/>
    </row>
    <row r="127" ht="14.25" customHeight="1">
      <c r="A127" s="87"/>
      <c r="B127" s="87"/>
      <c r="C127" s="87"/>
      <c r="D127" s="87"/>
      <c r="E127" s="87"/>
      <c r="F127" s="87"/>
      <c r="G127" s="87"/>
      <c r="H127" s="87"/>
      <c r="I127" s="87"/>
    </row>
    <row r="128" ht="14.25" customHeight="1">
      <c r="A128" s="87"/>
      <c r="B128" s="87"/>
      <c r="C128" s="87"/>
      <c r="D128" s="87"/>
      <c r="E128" s="87"/>
      <c r="F128" s="87"/>
      <c r="G128" s="87"/>
      <c r="H128" s="87"/>
      <c r="I128" s="87"/>
    </row>
    <row r="129" ht="14.25" customHeight="1">
      <c r="A129" s="87"/>
      <c r="B129" s="87"/>
      <c r="C129" s="87"/>
      <c r="D129" s="87"/>
      <c r="E129" s="87"/>
      <c r="F129" s="87"/>
      <c r="G129" s="87"/>
      <c r="H129" s="87"/>
      <c r="I129" s="87"/>
    </row>
    <row r="130" ht="14.25" customHeight="1">
      <c r="A130" s="87"/>
      <c r="B130" s="87"/>
      <c r="C130" s="87"/>
      <c r="D130" s="87"/>
      <c r="E130" s="87"/>
      <c r="F130" s="87"/>
      <c r="G130" s="87"/>
      <c r="H130" s="87"/>
      <c r="I130" s="87"/>
    </row>
    <row r="131" ht="14.25" customHeight="1">
      <c r="A131" s="87"/>
      <c r="B131" s="87"/>
      <c r="C131" s="87"/>
      <c r="D131" s="87"/>
      <c r="E131" s="87"/>
      <c r="F131" s="87"/>
      <c r="G131" s="87"/>
      <c r="H131" s="87"/>
      <c r="I131" s="87"/>
    </row>
    <row r="132" ht="14.25" customHeight="1">
      <c r="A132" s="87"/>
      <c r="B132" s="87"/>
      <c r="C132" s="87"/>
      <c r="D132" s="87"/>
      <c r="E132" s="87"/>
      <c r="F132" s="87"/>
      <c r="G132" s="87"/>
      <c r="H132" s="87"/>
      <c r="I132" s="87"/>
    </row>
    <row r="133" ht="14.25" customHeight="1">
      <c r="A133" s="87"/>
      <c r="B133" s="87"/>
      <c r="C133" s="87"/>
      <c r="D133" s="87"/>
      <c r="E133" s="87"/>
      <c r="F133" s="87"/>
      <c r="G133" s="87"/>
      <c r="H133" s="87"/>
      <c r="I133" s="87"/>
    </row>
    <row r="134" ht="14.25" customHeight="1">
      <c r="A134" s="87"/>
      <c r="B134" s="87"/>
      <c r="C134" s="87"/>
      <c r="D134" s="87"/>
      <c r="E134" s="87"/>
      <c r="F134" s="87"/>
      <c r="G134" s="87"/>
      <c r="H134" s="87"/>
      <c r="I134" s="87"/>
    </row>
    <row r="135" ht="14.25" customHeight="1">
      <c r="A135" s="87"/>
      <c r="B135" s="87"/>
      <c r="C135" s="87"/>
      <c r="D135" s="87"/>
      <c r="E135" s="87"/>
      <c r="F135" s="87"/>
      <c r="G135" s="87"/>
      <c r="H135" s="87"/>
      <c r="I135" s="87"/>
    </row>
    <row r="136" ht="14.25" customHeight="1">
      <c r="A136" s="87"/>
      <c r="B136" s="87"/>
      <c r="C136" s="87"/>
      <c r="D136" s="87"/>
      <c r="E136" s="87"/>
      <c r="F136" s="87"/>
      <c r="G136" s="87"/>
      <c r="H136" s="87"/>
      <c r="I136" s="87"/>
    </row>
    <row r="137" ht="14.25" customHeight="1">
      <c r="A137" s="87"/>
      <c r="B137" s="87"/>
      <c r="C137" s="87"/>
      <c r="D137" s="87"/>
      <c r="E137" s="87"/>
      <c r="F137" s="87"/>
      <c r="G137" s="87"/>
      <c r="H137" s="87"/>
      <c r="I137" s="87"/>
    </row>
    <row r="138" ht="14.25" customHeight="1">
      <c r="A138" s="87"/>
      <c r="B138" s="87"/>
      <c r="C138" s="87"/>
      <c r="D138" s="87"/>
      <c r="E138" s="87"/>
      <c r="F138" s="87"/>
      <c r="G138" s="87"/>
      <c r="H138" s="87"/>
      <c r="I138" s="87"/>
    </row>
    <row r="139" ht="14.25" customHeight="1">
      <c r="A139" s="87"/>
      <c r="B139" s="87"/>
      <c r="C139" s="87"/>
      <c r="D139" s="87"/>
      <c r="E139" s="87"/>
      <c r="F139" s="87"/>
      <c r="G139" s="87"/>
      <c r="H139" s="87"/>
      <c r="I139" s="87"/>
    </row>
    <row r="140" ht="14.25" customHeight="1">
      <c r="A140" s="87"/>
      <c r="B140" s="87"/>
      <c r="C140" s="87"/>
      <c r="D140" s="87"/>
      <c r="E140" s="87"/>
      <c r="F140" s="87"/>
      <c r="G140" s="87"/>
      <c r="H140" s="87"/>
      <c r="I140" s="87"/>
    </row>
    <row r="141" ht="14.25" customHeight="1">
      <c r="A141" s="87"/>
      <c r="B141" s="87"/>
      <c r="C141" s="87"/>
      <c r="D141" s="87"/>
      <c r="E141" s="87"/>
      <c r="F141" s="87"/>
      <c r="G141" s="87"/>
      <c r="H141" s="87"/>
      <c r="I141" s="87"/>
    </row>
    <row r="142" ht="14.25" customHeight="1">
      <c r="A142" s="87"/>
      <c r="B142" s="87"/>
      <c r="C142" s="87"/>
      <c r="D142" s="87"/>
      <c r="E142" s="87"/>
      <c r="F142" s="87"/>
      <c r="G142" s="87"/>
      <c r="H142" s="87"/>
      <c r="I142" s="87"/>
    </row>
    <row r="143" ht="14.25" customHeight="1">
      <c r="A143" s="87"/>
      <c r="B143" s="87"/>
      <c r="C143" s="87"/>
      <c r="D143" s="87"/>
      <c r="E143" s="87"/>
      <c r="F143" s="87"/>
      <c r="G143" s="87"/>
      <c r="H143" s="87"/>
      <c r="I143" s="87"/>
    </row>
    <row r="144" ht="14.25" customHeight="1">
      <c r="A144" s="87"/>
      <c r="B144" s="87"/>
      <c r="C144" s="87"/>
      <c r="D144" s="87"/>
      <c r="E144" s="87"/>
      <c r="F144" s="87"/>
      <c r="G144" s="87"/>
      <c r="H144" s="87"/>
      <c r="I144" s="87"/>
    </row>
    <row r="145" ht="14.25" customHeight="1">
      <c r="A145" s="87"/>
      <c r="B145" s="87"/>
      <c r="C145" s="87"/>
      <c r="D145" s="87"/>
      <c r="E145" s="87"/>
      <c r="F145" s="87"/>
      <c r="G145" s="87"/>
      <c r="H145" s="87"/>
      <c r="I145" s="87"/>
    </row>
    <row r="146" ht="14.25" customHeight="1">
      <c r="A146" s="87"/>
      <c r="B146" s="87"/>
      <c r="C146" s="87"/>
      <c r="D146" s="87"/>
      <c r="E146" s="87"/>
      <c r="F146" s="87"/>
      <c r="G146" s="87"/>
      <c r="H146" s="87"/>
      <c r="I146" s="87"/>
    </row>
    <row r="147" ht="14.25" customHeight="1">
      <c r="A147" s="87"/>
      <c r="B147" s="87"/>
      <c r="C147" s="87"/>
      <c r="D147" s="87"/>
      <c r="E147" s="87"/>
      <c r="F147" s="87"/>
      <c r="G147" s="87"/>
      <c r="H147" s="87"/>
      <c r="I147" s="87"/>
    </row>
    <row r="148" ht="14.25" customHeight="1">
      <c r="A148" s="87"/>
      <c r="B148" s="87"/>
      <c r="C148" s="87"/>
      <c r="D148" s="87"/>
      <c r="E148" s="87"/>
      <c r="F148" s="87"/>
      <c r="G148" s="87"/>
      <c r="H148" s="87"/>
      <c r="I148" s="87"/>
    </row>
    <row r="149" ht="14.25" customHeight="1">
      <c r="A149" s="87"/>
      <c r="B149" s="87"/>
      <c r="C149" s="87"/>
      <c r="D149" s="87"/>
      <c r="E149" s="87"/>
      <c r="F149" s="87"/>
      <c r="G149" s="87"/>
      <c r="H149" s="87"/>
      <c r="I149" s="87"/>
    </row>
    <row r="150" ht="14.25" customHeight="1">
      <c r="A150" s="87"/>
      <c r="B150" s="87"/>
      <c r="C150" s="87"/>
      <c r="D150" s="87"/>
      <c r="E150" s="87"/>
      <c r="F150" s="87"/>
      <c r="G150" s="87"/>
      <c r="H150" s="87"/>
      <c r="I150" s="87"/>
    </row>
    <row r="151" ht="14.25" customHeight="1">
      <c r="A151" s="87"/>
      <c r="B151" s="87"/>
      <c r="C151" s="87"/>
      <c r="D151" s="87"/>
      <c r="E151" s="87"/>
      <c r="F151" s="87"/>
      <c r="G151" s="87"/>
      <c r="H151" s="87"/>
      <c r="I151" s="87"/>
    </row>
    <row r="152" ht="14.25" customHeight="1">
      <c r="A152" s="87"/>
      <c r="B152" s="87"/>
      <c r="C152" s="87"/>
      <c r="D152" s="87"/>
      <c r="E152" s="87"/>
      <c r="F152" s="87"/>
      <c r="G152" s="87"/>
      <c r="H152" s="87"/>
      <c r="I152" s="87"/>
    </row>
    <row r="153" ht="14.25" customHeight="1">
      <c r="A153" s="87"/>
      <c r="B153" s="87"/>
      <c r="C153" s="87"/>
      <c r="D153" s="87"/>
      <c r="E153" s="87"/>
      <c r="F153" s="87"/>
      <c r="G153" s="87"/>
      <c r="H153" s="87"/>
      <c r="I153" s="87"/>
    </row>
    <row r="154" ht="14.25" customHeight="1">
      <c r="A154" s="87"/>
      <c r="B154" s="87"/>
      <c r="C154" s="87"/>
      <c r="D154" s="87"/>
      <c r="E154" s="87"/>
      <c r="F154" s="87"/>
      <c r="G154" s="87"/>
      <c r="H154" s="87"/>
      <c r="I154" s="87"/>
    </row>
    <row r="155" ht="14.25" customHeight="1">
      <c r="A155" s="87"/>
      <c r="B155" s="87"/>
      <c r="C155" s="87"/>
      <c r="D155" s="87"/>
      <c r="E155" s="87"/>
      <c r="F155" s="87"/>
      <c r="G155" s="87"/>
      <c r="H155" s="87"/>
      <c r="I155" s="87"/>
    </row>
    <row r="156" ht="14.25" customHeight="1">
      <c r="A156" s="87"/>
      <c r="B156" s="87"/>
      <c r="C156" s="87"/>
      <c r="D156" s="87"/>
      <c r="E156" s="87"/>
      <c r="F156" s="87"/>
      <c r="G156" s="87"/>
      <c r="H156" s="87"/>
      <c r="I156" s="87"/>
    </row>
    <row r="157" ht="14.25" customHeight="1">
      <c r="A157" s="87"/>
      <c r="B157" s="87"/>
      <c r="C157" s="87"/>
      <c r="D157" s="87"/>
      <c r="E157" s="87"/>
      <c r="F157" s="87"/>
      <c r="G157" s="87"/>
      <c r="H157" s="87"/>
      <c r="I157" s="87"/>
    </row>
    <row r="158" ht="14.25" customHeight="1">
      <c r="A158" s="87"/>
      <c r="B158" s="87"/>
      <c r="C158" s="87"/>
      <c r="D158" s="87"/>
      <c r="E158" s="87"/>
      <c r="F158" s="87"/>
      <c r="G158" s="87"/>
      <c r="H158" s="87"/>
      <c r="I158" s="87"/>
    </row>
    <row r="159" ht="14.25" customHeight="1">
      <c r="A159" s="87"/>
      <c r="B159" s="87"/>
      <c r="C159" s="87"/>
      <c r="D159" s="87"/>
      <c r="E159" s="87"/>
      <c r="F159" s="87"/>
      <c r="G159" s="87"/>
      <c r="H159" s="87"/>
      <c r="I159" s="87"/>
    </row>
    <row r="160" ht="14.25" customHeight="1">
      <c r="A160" s="87"/>
      <c r="B160" s="87"/>
      <c r="C160" s="87"/>
      <c r="D160" s="87"/>
      <c r="E160" s="87"/>
      <c r="F160" s="87"/>
      <c r="G160" s="87"/>
      <c r="H160" s="87"/>
      <c r="I160" s="87"/>
    </row>
    <row r="161" ht="14.25" customHeight="1">
      <c r="A161" s="87"/>
      <c r="B161" s="87"/>
      <c r="C161" s="87"/>
      <c r="D161" s="87"/>
      <c r="E161" s="87"/>
      <c r="F161" s="87"/>
      <c r="G161" s="87"/>
      <c r="H161" s="87"/>
      <c r="I161" s="87"/>
    </row>
    <row r="162" ht="14.25" customHeight="1">
      <c r="A162" s="87"/>
      <c r="B162" s="87"/>
      <c r="C162" s="87"/>
      <c r="D162" s="87"/>
      <c r="E162" s="87"/>
      <c r="F162" s="87"/>
      <c r="G162" s="87"/>
      <c r="H162" s="87"/>
      <c r="I162" s="87"/>
    </row>
    <row r="163" ht="14.25" customHeight="1">
      <c r="A163" s="87"/>
      <c r="B163" s="87"/>
      <c r="C163" s="87"/>
      <c r="D163" s="87"/>
      <c r="E163" s="87"/>
      <c r="F163" s="87"/>
      <c r="G163" s="87"/>
      <c r="H163" s="87"/>
      <c r="I163" s="87"/>
    </row>
    <row r="164" ht="14.25" customHeight="1">
      <c r="A164" s="87"/>
      <c r="B164" s="87"/>
      <c r="C164" s="87"/>
      <c r="D164" s="87"/>
      <c r="E164" s="87"/>
      <c r="F164" s="87"/>
      <c r="G164" s="87"/>
      <c r="H164" s="87"/>
      <c r="I164" s="87"/>
    </row>
    <row r="165" ht="14.25" customHeight="1">
      <c r="A165" s="87"/>
      <c r="B165" s="87"/>
      <c r="C165" s="87"/>
      <c r="D165" s="87"/>
      <c r="E165" s="87"/>
      <c r="F165" s="87"/>
      <c r="G165" s="87"/>
      <c r="H165" s="87"/>
      <c r="I165" s="87"/>
    </row>
    <row r="166" ht="14.25" customHeight="1">
      <c r="A166" s="87"/>
      <c r="B166" s="87"/>
      <c r="C166" s="87"/>
      <c r="D166" s="87"/>
      <c r="E166" s="87"/>
      <c r="F166" s="87"/>
      <c r="G166" s="87"/>
      <c r="H166" s="87"/>
      <c r="I166" s="87"/>
    </row>
    <row r="167" ht="14.25" customHeight="1">
      <c r="A167" s="87"/>
      <c r="B167" s="87"/>
      <c r="C167" s="87"/>
      <c r="D167" s="87"/>
      <c r="E167" s="87"/>
      <c r="F167" s="87"/>
      <c r="G167" s="87"/>
      <c r="H167" s="87"/>
      <c r="I167" s="87"/>
    </row>
    <row r="168" ht="14.25" customHeight="1">
      <c r="A168" s="87"/>
      <c r="B168" s="87"/>
      <c r="C168" s="87"/>
      <c r="D168" s="87"/>
      <c r="E168" s="87"/>
      <c r="F168" s="87"/>
      <c r="G168" s="87"/>
      <c r="H168" s="87"/>
      <c r="I168" s="87"/>
    </row>
    <row r="169" ht="14.25" customHeight="1">
      <c r="A169" s="87"/>
      <c r="B169" s="87"/>
      <c r="C169" s="87"/>
      <c r="D169" s="87"/>
      <c r="E169" s="87"/>
      <c r="F169" s="87"/>
      <c r="G169" s="87"/>
      <c r="H169" s="87"/>
      <c r="I169" s="87"/>
    </row>
    <row r="170" ht="14.25" customHeight="1">
      <c r="A170" s="87"/>
      <c r="B170" s="87"/>
      <c r="C170" s="87"/>
      <c r="D170" s="87"/>
      <c r="E170" s="87"/>
      <c r="F170" s="87"/>
      <c r="G170" s="87"/>
      <c r="H170" s="87"/>
      <c r="I170" s="87"/>
    </row>
    <row r="171" ht="14.25" customHeight="1">
      <c r="A171" s="87"/>
      <c r="B171" s="87"/>
      <c r="C171" s="87"/>
      <c r="D171" s="87"/>
      <c r="E171" s="87"/>
      <c r="F171" s="87"/>
      <c r="G171" s="87"/>
      <c r="H171" s="87"/>
      <c r="I171" s="87"/>
    </row>
    <row r="172" ht="14.25" customHeight="1">
      <c r="A172" s="87"/>
      <c r="B172" s="87"/>
      <c r="C172" s="87"/>
      <c r="D172" s="87"/>
      <c r="E172" s="87"/>
      <c r="F172" s="87"/>
      <c r="G172" s="87"/>
      <c r="H172" s="87"/>
      <c r="I172" s="87"/>
    </row>
    <row r="173" ht="14.25" customHeight="1">
      <c r="A173" s="87"/>
      <c r="B173" s="87"/>
      <c r="C173" s="87"/>
      <c r="D173" s="87"/>
      <c r="E173" s="87"/>
      <c r="F173" s="87"/>
      <c r="G173" s="87"/>
      <c r="H173" s="87"/>
      <c r="I173" s="87"/>
    </row>
    <row r="174" ht="14.25" customHeight="1">
      <c r="A174" s="87"/>
      <c r="B174" s="87"/>
      <c r="C174" s="87"/>
      <c r="D174" s="87"/>
      <c r="E174" s="87"/>
      <c r="F174" s="87"/>
      <c r="G174" s="87"/>
      <c r="H174" s="87"/>
      <c r="I174" s="87"/>
    </row>
    <row r="175" ht="14.25" customHeight="1">
      <c r="A175" s="87"/>
      <c r="B175" s="87"/>
      <c r="C175" s="87"/>
      <c r="D175" s="87"/>
      <c r="E175" s="87"/>
      <c r="F175" s="87"/>
      <c r="G175" s="87"/>
      <c r="H175" s="87"/>
      <c r="I175" s="87"/>
    </row>
    <row r="176" ht="14.25" customHeight="1">
      <c r="A176" s="87"/>
      <c r="B176" s="87"/>
      <c r="C176" s="87"/>
      <c r="D176" s="87"/>
      <c r="E176" s="87"/>
      <c r="F176" s="87"/>
      <c r="G176" s="87"/>
      <c r="H176" s="87"/>
      <c r="I176" s="87"/>
    </row>
    <row r="177" ht="14.25" customHeight="1">
      <c r="A177" s="87"/>
      <c r="B177" s="87"/>
      <c r="C177" s="87"/>
      <c r="D177" s="87"/>
      <c r="E177" s="87"/>
      <c r="F177" s="87"/>
      <c r="G177" s="87"/>
      <c r="H177" s="87"/>
      <c r="I177" s="87"/>
    </row>
    <row r="178" ht="14.25" customHeight="1">
      <c r="A178" s="87"/>
      <c r="B178" s="87"/>
      <c r="C178" s="87"/>
      <c r="D178" s="87"/>
      <c r="E178" s="87"/>
      <c r="F178" s="87"/>
      <c r="G178" s="87"/>
      <c r="H178" s="87"/>
      <c r="I178" s="87"/>
    </row>
    <row r="179" ht="14.25" customHeight="1">
      <c r="A179" s="87"/>
      <c r="B179" s="87"/>
      <c r="C179" s="87"/>
      <c r="D179" s="87"/>
      <c r="E179" s="87"/>
      <c r="F179" s="87"/>
      <c r="G179" s="87"/>
      <c r="H179" s="87"/>
      <c r="I179" s="87"/>
    </row>
    <row r="180" ht="14.25" customHeight="1">
      <c r="A180" s="87"/>
      <c r="B180" s="87"/>
      <c r="C180" s="87"/>
      <c r="D180" s="87"/>
      <c r="E180" s="87"/>
      <c r="F180" s="87"/>
      <c r="G180" s="87"/>
      <c r="H180" s="87"/>
      <c r="I180" s="87"/>
    </row>
    <row r="181" ht="14.25" customHeight="1">
      <c r="A181" s="87"/>
      <c r="B181" s="87"/>
      <c r="C181" s="87"/>
      <c r="D181" s="87"/>
      <c r="E181" s="87"/>
      <c r="F181" s="87"/>
      <c r="G181" s="87"/>
      <c r="H181" s="87"/>
      <c r="I181" s="87"/>
    </row>
    <row r="182" ht="14.25" customHeight="1">
      <c r="A182" s="87"/>
      <c r="B182" s="87"/>
      <c r="C182" s="87"/>
      <c r="D182" s="87"/>
      <c r="E182" s="87"/>
      <c r="F182" s="87"/>
      <c r="G182" s="87"/>
      <c r="H182" s="87"/>
      <c r="I182" s="87"/>
    </row>
    <row r="183" ht="14.25" customHeight="1">
      <c r="A183" s="87"/>
      <c r="B183" s="87"/>
      <c r="C183" s="87"/>
      <c r="D183" s="87"/>
      <c r="E183" s="87"/>
      <c r="F183" s="87"/>
      <c r="G183" s="87"/>
      <c r="H183" s="87"/>
      <c r="I183" s="87"/>
    </row>
    <row r="184" ht="14.25" customHeight="1">
      <c r="A184" s="87"/>
      <c r="B184" s="87"/>
      <c r="C184" s="87"/>
      <c r="D184" s="87"/>
      <c r="E184" s="87"/>
      <c r="F184" s="87"/>
      <c r="G184" s="87"/>
      <c r="H184" s="87"/>
      <c r="I184" s="87"/>
    </row>
    <row r="185" ht="14.25" customHeight="1">
      <c r="A185" s="87"/>
      <c r="B185" s="87"/>
      <c r="C185" s="87"/>
      <c r="D185" s="87"/>
      <c r="E185" s="87"/>
      <c r="F185" s="87"/>
      <c r="G185" s="87"/>
      <c r="H185" s="87"/>
      <c r="I185" s="87"/>
    </row>
    <row r="186" ht="14.25" customHeight="1">
      <c r="A186" s="87"/>
      <c r="B186" s="87"/>
      <c r="C186" s="87"/>
      <c r="D186" s="87"/>
      <c r="E186" s="87"/>
      <c r="F186" s="87"/>
      <c r="G186" s="87"/>
      <c r="H186" s="87"/>
      <c r="I186" s="87"/>
    </row>
    <row r="187" ht="14.25" customHeight="1">
      <c r="A187" s="87"/>
      <c r="B187" s="87"/>
      <c r="C187" s="87"/>
      <c r="D187" s="87"/>
      <c r="E187" s="87"/>
      <c r="F187" s="87"/>
      <c r="G187" s="87"/>
      <c r="H187" s="87"/>
      <c r="I187" s="87"/>
    </row>
    <row r="188" ht="14.25" customHeight="1">
      <c r="A188" s="87"/>
      <c r="B188" s="87"/>
      <c r="C188" s="87"/>
      <c r="D188" s="87"/>
      <c r="E188" s="87"/>
      <c r="F188" s="87"/>
      <c r="G188" s="87"/>
      <c r="H188" s="87"/>
      <c r="I188" s="87"/>
    </row>
    <row r="189" ht="14.25" customHeight="1">
      <c r="A189" s="87"/>
      <c r="B189" s="87"/>
      <c r="C189" s="87"/>
      <c r="D189" s="87"/>
      <c r="E189" s="87"/>
      <c r="F189" s="87"/>
      <c r="G189" s="87"/>
      <c r="H189" s="87"/>
      <c r="I189" s="87"/>
    </row>
    <row r="190" ht="14.25" customHeight="1">
      <c r="A190" s="87"/>
      <c r="B190" s="87"/>
      <c r="C190" s="87"/>
      <c r="D190" s="87"/>
      <c r="E190" s="87"/>
      <c r="F190" s="87"/>
      <c r="G190" s="87"/>
      <c r="H190" s="87"/>
      <c r="I190" s="87"/>
    </row>
    <row r="191" ht="14.25" customHeight="1">
      <c r="A191" s="87"/>
      <c r="B191" s="87"/>
      <c r="C191" s="87"/>
      <c r="D191" s="87"/>
      <c r="E191" s="87"/>
      <c r="F191" s="87"/>
      <c r="G191" s="87"/>
      <c r="H191" s="87"/>
      <c r="I191" s="87"/>
    </row>
    <row r="192" ht="14.25" customHeight="1">
      <c r="A192" s="87"/>
      <c r="B192" s="87"/>
      <c r="C192" s="87"/>
      <c r="D192" s="87"/>
      <c r="E192" s="87"/>
      <c r="F192" s="87"/>
      <c r="G192" s="87"/>
      <c r="H192" s="87"/>
      <c r="I192" s="87"/>
    </row>
    <row r="193" ht="14.25" customHeight="1">
      <c r="A193" s="87"/>
      <c r="B193" s="87"/>
      <c r="C193" s="87"/>
      <c r="D193" s="87"/>
      <c r="E193" s="87"/>
      <c r="F193" s="87"/>
      <c r="G193" s="87"/>
      <c r="H193" s="87"/>
      <c r="I193" s="87"/>
    </row>
    <row r="194" ht="14.25" customHeight="1">
      <c r="A194" s="87"/>
      <c r="B194" s="87"/>
      <c r="C194" s="87"/>
      <c r="D194" s="87"/>
      <c r="E194" s="87"/>
      <c r="F194" s="87"/>
      <c r="G194" s="87"/>
      <c r="H194" s="87"/>
      <c r="I194" s="87"/>
    </row>
    <row r="195" ht="14.25" customHeight="1">
      <c r="A195" s="87"/>
      <c r="B195" s="87"/>
      <c r="C195" s="87"/>
      <c r="D195" s="87"/>
      <c r="E195" s="87"/>
      <c r="F195" s="87"/>
      <c r="G195" s="87"/>
      <c r="H195" s="87"/>
      <c r="I195" s="87"/>
    </row>
    <row r="196" ht="14.25" customHeight="1">
      <c r="A196" s="87"/>
      <c r="B196" s="87"/>
      <c r="C196" s="87"/>
      <c r="D196" s="87"/>
      <c r="E196" s="87"/>
      <c r="F196" s="87"/>
      <c r="G196" s="87"/>
      <c r="H196" s="87"/>
      <c r="I196" s="87"/>
    </row>
    <row r="197" ht="14.25" customHeight="1">
      <c r="A197" s="87"/>
      <c r="B197" s="87"/>
      <c r="C197" s="87"/>
      <c r="D197" s="87"/>
      <c r="E197" s="87"/>
      <c r="F197" s="87"/>
      <c r="G197" s="87"/>
      <c r="H197" s="87"/>
      <c r="I197" s="87"/>
    </row>
    <row r="198" ht="14.25" customHeight="1">
      <c r="A198" s="87"/>
      <c r="B198" s="87"/>
      <c r="C198" s="87"/>
      <c r="D198" s="87"/>
      <c r="E198" s="87"/>
      <c r="F198" s="87"/>
      <c r="G198" s="87"/>
      <c r="H198" s="87"/>
      <c r="I198" s="87"/>
    </row>
    <row r="199" ht="14.25" customHeight="1">
      <c r="A199" s="87"/>
      <c r="B199" s="87"/>
      <c r="C199" s="87"/>
      <c r="D199" s="87"/>
      <c r="E199" s="87"/>
      <c r="F199" s="87"/>
      <c r="G199" s="87"/>
      <c r="H199" s="87"/>
      <c r="I199" s="87"/>
    </row>
    <row r="200" ht="14.25" customHeight="1">
      <c r="A200" s="87"/>
      <c r="B200" s="87"/>
      <c r="C200" s="87"/>
      <c r="D200" s="87"/>
      <c r="E200" s="87"/>
      <c r="F200" s="87"/>
      <c r="G200" s="87"/>
      <c r="H200" s="87"/>
      <c r="I200" s="87"/>
    </row>
    <row r="201" ht="14.25" customHeight="1">
      <c r="A201" s="87"/>
      <c r="B201" s="87"/>
      <c r="C201" s="87"/>
      <c r="D201" s="87"/>
      <c r="E201" s="87"/>
      <c r="F201" s="87"/>
      <c r="G201" s="87"/>
      <c r="H201" s="87"/>
      <c r="I201" s="87"/>
    </row>
    <row r="202" ht="14.25" customHeight="1">
      <c r="A202" s="87"/>
      <c r="B202" s="87"/>
      <c r="C202" s="87"/>
      <c r="D202" s="87"/>
      <c r="E202" s="87"/>
      <c r="F202" s="87"/>
      <c r="G202" s="87"/>
      <c r="H202" s="87"/>
      <c r="I202" s="87"/>
    </row>
    <row r="203" ht="14.25" customHeight="1">
      <c r="A203" s="87"/>
      <c r="B203" s="87"/>
      <c r="C203" s="87"/>
      <c r="D203" s="87"/>
      <c r="E203" s="87"/>
      <c r="F203" s="87"/>
      <c r="G203" s="87"/>
      <c r="H203" s="87"/>
      <c r="I203" s="87"/>
    </row>
    <row r="204" ht="14.25" customHeight="1">
      <c r="A204" s="87"/>
      <c r="B204" s="87"/>
      <c r="C204" s="87"/>
      <c r="D204" s="87"/>
      <c r="E204" s="87"/>
      <c r="F204" s="87"/>
      <c r="G204" s="87"/>
      <c r="H204" s="87"/>
      <c r="I204" s="87"/>
    </row>
    <row r="205" ht="14.25" customHeight="1">
      <c r="A205" s="87"/>
      <c r="B205" s="87"/>
      <c r="C205" s="87"/>
      <c r="D205" s="87"/>
      <c r="E205" s="87"/>
      <c r="F205" s="87"/>
      <c r="G205" s="87"/>
      <c r="H205" s="87"/>
      <c r="I205" s="87"/>
    </row>
    <row r="206" ht="14.25" customHeight="1">
      <c r="A206" s="87"/>
      <c r="B206" s="87"/>
      <c r="C206" s="87"/>
      <c r="D206" s="87"/>
      <c r="E206" s="87"/>
      <c r="F206" s="87"/>
      <c r="G206" s="87"/>
      <c r="H206" s="87"/>
      <c r="I206" s="87"/>
    </row>
    <row r="207" ht="14.25" customHeight="1">
      <c r="A207" s="87"/>
      <c r="B207" s="87"/>
      <c r="C207" s="87"/>
      <c r="D207" s="87"/>
      <c r="E207" s="87"/>
      <c r="F207" s="87"/>
      <c r="G207" s="87"/>
      <c r="H207" s="87"/>
      <c r="I207" s="87"/>
    </row>
    <row r="208" ht="14.25" customHeight="1">
      <c r="A208" s="87"/>
      <c r="B208" s="87"/>
      <c r="C208" s="87"/>
      <c r="D208" s="87"/>
      <c r="E208" s="87"/>
      <c r="F208" s="87"/>
      <c r="G208" s="87"/>
      <c r="H208" s="87"/>
      <c r="I208" s="87"/>
    </row>
    <row r="209" ht="14.25" customHeight="1">
      <c r="A209" s="87"/>
      <c r="B209" s="87"/>
      <c r="C209" s="87"/>
      <c r="D209" s="87"/>
      <c r="E209" s="87"/>
      <c r="F209" s="87"/>
      <c r="G209" s="87"/>
      <c r="H209" s="87"/>
      <c r="I209" s="87"/>
    </row>
    <row r="210" ht="14.25" customHeight="1">
      <c r="A210" s="87"/>
      <c r="B210" s="87"/>
      <c r="C210" s="87"/>
      <c r="D210" s="87"/>
      <c r="E210" s="87"/>
      <c r="F210" s="87"/>
      <c r="G210" s="87"/>
      <c r="H210" s="87"/>
      <c r="I210" s="87"/>
    </row>
    <row r="211" ht="14.25" customHeight="1">
      <c r="A211" s="87"/>
      <c r="B211" s="87"/>
      <c r="C211" s="87"/>
      <c r="D211" s="87"/>
      <c r="E211" s="87"/>
      <c r="F211" s="87"/>
      <c r="G211" s="87"/>
      <c r="H211" s="87"/>
      <c r="I211" s="87"/>
    </row>
    <row r="212" ht="14.25" customHeight="1">
      <c r="A212" s="87"/>
      <c r="B212" s="87"/>
      <c r="C212" s="87"/>
      <c r="D212" s="87"/>
      <c r="E212" s="87"/>
      <c r="F212" s="87"/>
      <c r="G212" s="87"/>
      <c r="H212" s="87"/>
      <c r="I212" s="87"/>
    </row>
    <row r="213" ht="14.25" customHeight="1">
      <c r="A213" s="87"/>
      <c r="B213" s="87"/>
      <c r="C213" s="87"/>
      <c r="D213" s="87"/>
      <c r="E213" s="87"/>
      <c r="F213" s="87"/>
      <c r="G213" s="87"/>
      <c r="H213" s="87"/>
      <c r="I213" s="87"/>
    </row>
    <row r="214" ht="14.25" customHeight="1">
      <c r="A214" s="87"/>
      <c r="B214" s="87"/>
      <c r="C214" s="87"/>
      <c r="D214" s="87"/>
      <c r="E214" s="87"/>
      <c r="F214" s="87"/>
      <c r="G214" s="87"/>
      <c r="H214" s="87"/>
      <c r="I214" s="87"/>
    </row>
    <row r="215" ht="14.25" customHeight="1">
      <c r="A215" s="87"/>
      <c r="B215" s="87"/>
      <c r="C215" s="87"/>
      <c r="D215" s="87"/>
      <c r="E215" s="87"/>
      <c r="F215" s="87"/>
      <c r="G215" s="87"/>
      <c r="H215" s="87"/>
      <c r="I215" s="87"/>
    </row>
    <row r="216" ht="14.25" customHeight="1">
      <c r="A216" s="87"/>
      <c r="B216" s="87"/>
      <c r="C216" s="87"/>
      <c r="D216" s="87"/>
      <c r="E216" s="87"/>
      <c r="F216" s="87"/>
      <c r="G216" s="87"/>
      <c r="H216" s="87"/>
      <c r="I216" s="87"/>
    </row>
    <row r="217" ht="14.25" customHeight="1">
      <c r="A217" s="87"/>
      <c r="B217" s="87"/>
      <c r="C217" s="87"/>
      <c r="D217" s="87"/>
      <c r="E217" s="87"/>
      <c r="F217" s="87"/>
      <c r="G217" s="87"/>
      <c r="H217" s="87"/>
      <c r="I217" s="87"/>
    </row>
    <row r="218" ht="14.25" customHeight="1">
      <c r="A218" s="87"/>
      <c r="B218" s="87"/>
      <c r="C218" s="87"/>
      <c r="D218" s="87"/>
      <c r="E218" s="87"/>
      <c r="F218" s="87"/>
      <c r="G218" s="87"/>
      <c r="H218" s="87"/>
      <c r="I218" s="87"/>
    </row>
    <row r="219" ht="14.25" customHeight="1">
      <c r="A219" s="87"/>
      <c r="B219" s="87"/>
      <c r="C219" s="87"/>
      <c r="D219" s="87"/>
      <c r="E219" s="87"/>
      <c r="F219" s="87"/>
      <c r="G219" s="87"/>
      <c r="H219" s="87"/>
      <c r="I219" s="87"/>
    </row>
    <row r="220" ht="14.25" customHeight="1">
      <c r="A220" s="87"/>
      <c r="B220" s="87"/>
      <c r="C220" s="87"/>
      <c r="D220" s="87"/>
      <c r="E220" s="87"/>
      <c r="F220" s="87"/>
      <c r="G220" s="87"/>
      <c r="H220" s="87"/>
      <c r="I220" s="87"/>
    </row>
    <row r="221" ht="14.25" customHeight="1">
      <c r="A221" s="87"/>
      <c r="B221" s="87"/>
      <c r="C221" s="87"/>
      <c r="D221" s="87"/>
      <c r="E221" s="87"/>
      <c r="F221" s="87"/>
      <c r="G221" s="87"/>
      <c r="H221" s="87"/>
      <c r="I221" s="87"/>
    </row>
    <row r="222" ht="14.25" customHeight="1">
      <c r="A222" s="87"/>
      <c r="B222" s="87"/>
      <c r="C222" s="87"/>
      <c r="D222" s="87"/>
      <c r="E222" s="87"/>
      <c r="F222" s="87"/>
      <c r="G222" s="87"/>
      <c r="H222" s="87"/>
      <c r="I222" s="87"/>
    </row>
    <row r="223" ht="14.25" customHeight="1">
      <c r="A223" s="87"/>
      <c r="B223" s="87"/>
      <c r="C223" s="87"/>
      <c r="D223" s="87"/>
      <c r="E223" s="87"/>
      <c r="F223" s="87"/>
      <c r="G223" s="87"/>
      <c r="H223" s="87"/>
      <c r="I223" s="87"/>
    </row>
    <row r="224" ht="14.25" customHeight="1">
      <c r="A224" s="87"/>
      <c r="B224" s="87"/>
      <c r="C224" s="87"/>
      <c r="D224" s="87"/>
      <c r="E224" s="87"/>
      <c r="F224" s="87"/>
      <c r="G224" s="87"/>
      <c r="H224" s="87"/>
      <c r="I224" s="87"/>
    </row>
    <row r="225" ht="14.25" customHeight="1">
      <c r="A225" s="87"/>
      <c r="B225" s="87"/>
      <c r="C225" s="87"/>
      <c r="D225" s="87"/>
      <c r="E225" s="87"/>
      <c r="F225" s="87"/>
      <c r="G225" s="87"/>
      <c r="H225" s="87"/>
      <c r="I225" s="87"/>
    </row>
    <row r="226" ht="14.25" customHeight="1">
      <c r="A226" s="87"/>
      <c r="B226" s="87"/>
      <c r="C226" s="87"/>
      <c r="D226" s="87"/>
      <c r="E226" s="87"/>
      <c r="F226" s="87"/>
      <c r="G226" s="87"/>
      <c r="H226" s="87"/>
      <c r="I226" s="87"/>
    </row>
    <row r="227" ht="14.25" customHeight="1">
      <c r="A227" s="87"/>
      <c r="B227" s="87"/>
      <c r="C227" s="87"/>
      <c r="D227" s="87"/>
      <c r="E227" s="87"/>
      <c r="F227" s="87"/>
      <c r="G227" s="87"/>
      <c r="H227" s="87"/>
      <c r="I227" s="87"/>
    </row>
    <row r="228" ht="14.25" customHeight="1">
      <c r="A228" s="87"/>
      <c r="B228" s="87"/>
      <c r="C228" s="87"/>
      <c r="D228" s="87"/>
      <c r="E228" s="87"/>
      <c r="F228" s="87"/>
      <c r="G228" s="87"/>
      <c r="H228" s="87"/>
      <c r="I228" s="87"/>
    </row>
    <row r="229" ht="14.25" customHeight="1">
      <c r="A229" s="87"/>
      <c r="B229" s="87"/>
      <c r="C229" s="87"/>
      <c r="D229" s="87"/>
      <c r="E229" s="87"/>
      <c r="F229" s="87"/>
      <c r="G229" s="87"/>
      <c r="H229" s="87"/>
      <c r="I229" s="87"/>
    </row>
    <row r="230" ht="14.25" customHeight="1">
      <c r="A230" s="87"/>
      <c r="B230" s="87"/>
      <c r="C230" s="87"/>
      <c r="D230" s="87"/>
      <c r="E230" s="87"/>
      <c r="F230" s="87"/>
      <c r="G230" s="87"/>
      <c r="H230" s="87"/>
      <c r="I230" s="87"/>
    </row>
    <row r="231" ht="14.25" customHeight="1">
      <c r="A231" s="87"/>
      <c r="B231" s="87"/>
      <c r="C231" s="87"/>
      <c r="D231" s="87"/>
      <c r="E231" s="87"/>
      <c r="F231" s="87"/>
      <c r="G231" s="87"/>
      <c r="H231" s="87"/>
      <c r="I231" s="87"/>
    </row>
    <row r="232" ht="14.25" customHeight="1">
      <c r="A232" s="87"/>
      <c r="B232" s="87"/>
      <c r="C232" s="87"/>
      <c r="D232" s="87"/>
      <c r="E232" s="87"/>
      <c r="F232" s="87"/>
      <c r="G232" s="87"/>
      <c r="H232" s="87"/>
      <c r="I232" s="87"/>
    </row>
    <row r="233" ht="14.25" customHeight="1">
      <c r="A233" s="87"/>
      <c r="B233" s="87"/>
      <c r="C233" s="87"/>
      <c r="D233" s="87"/>
      <c r="E233" s="87"/>
      <c r="F233" s="87"/>
      <c r="G233" s="87"/>
      <c r="H233" s="87"/>
      <c r="I233" s="87"/>
    </row>
    <row r="234" ht="14.25" customHeight="1">
      <c r="A234" s="87"/>
      <c r="B234" s="87"/>
      <c r="C234" s="87"/>
      <c r="D234" s="87"/>
      <c r="E234" s="87"/>
      <c r="F234" s="87"/>
      <c r="G234" s="87"/>
      <c r="H234" s="87"/>
      <c r="I234" s="87"/>
    </row>
    <row r="235" ht="14.25" customHeight="1">
      <c r="A235" s="87"/>
      <c r="B235" s="87"/>
      <c r="C235" s="87"/>
      <c r="D235" s="87"/>
      <c r="E235" s="87"/>
      <c r="F235" s="87"/>
      <c r="G235" s="87"/>
      <c r="H235" s="87"/>
      <c r="I235" s="87"/>
    </row>
    <row r="236" ht="14.25" customHeight="1">
      <c r="A236" s="87"/>
      <c r="B236" s="87"/>
      <c r="C236" s="87"/>
      <c r="D236" s="87"/>
      <c r="E236" s="87"/>
      <c r="F236" s="87"/>
      <c r="G236" s="87"/>
      <c r="H236" s="87"/>
      <c r="I236" s="87"/>
    </row>
    <row r="237" ht="14.25" customHeight="1">
      <c r="A237" s="87"/>
      <c r="B237" s="87"/>
      <c r="C237" s="87"/>
      <c r="D237" s="87"/>
      <c r="E237" s="87"/>
      <c r="F237" s="87"/>
      <c r="G237" s="87"/>
      <c r="H237" s="87"/>
      <c r="I237" s="87"/>
    </row>
    <row r="238" ht="14.25" customHeight="1">
      <c r="A238" s="87"/>
      <c r="B238" s="87"/>
      <c r="C238" s="87"/>
      <c r="D238" s="87"/>
      <c r="E238" s="87"/>
      <c r="F238" s="87"/>
      <c r="G238" s="87"/>
      <c r="H238" s="87"/>
      <c r="I238" s="87"/>
    </row>
    <row r="239" ht="14.25" customHeight="1">
      <c r="A239" s="87"/>
      <c r="B239" s="87"/>
      <c r="C239" s="87"/>
      <c r="D239" s="87"/>
      <c r="E239" s="87"/>
      <c r="F239" s="87"/>
      <c r="G239" s="87"/>
      <c r="H239" s="87"/>
      <c r="I239" s="87"/>
    </row>
    <row r="240" ht="14.25" customHeight="1">
      <c r="A240" s="87"/>
      <c r="B240" s="87"/>
      <c r="C240" s="87"/>
      <c r="D240" s="87"/>
      <c r="E240" s="87"/>
      <c r="F240" s="87"/>
      <c r="G240" s="87"/>
      <c r="H240" s="87"/>
      <c r="I240" s="87"/>
    </row>
    <row r="241" ht="14.25" customHeight="1">
      <c r="A241" s="87"/>
      <c r="B241" s="87"/>
      <c r="C241" s="87"/>
      <c r="D241" s="87"/>
      <c r="E241" s="87"/>
      <c r="F241" s="87"/>
      <c r="G241" s="87"/>
      <c r="H241" s="87"/>
      <c r="I241" s="87"/>
    </row>
    <row r="242" ht="14.25" customHeight="1">
      <c r="A242" s="87"/>
      <c r="B242" s="87"/>
      <c r="C242" s="87"/>
      <c r="D242" s="87"/>
      <c r="E242" s="87"/>
      <c r="F242" s="87"/>
      <c r="G242" s="87"/>
      <c r="H242" s="87"/>
      <c r="I242" s="87"/>
    </row>
    <row r="243" ht="14.25" customHeight="1">
      <c r="A243" s="87"/>
      <c r="B243" s="87"/>
      <c r="C243" s="87"/>
      <c r="D243" s="87"/>
      <c r="E243" s="87"/>
      <c r="F243" s="87"/>
      <c r="G243" s="87"/>
      <c r="H243" s="87"/>
      <c r="I243" s="87"/>
    </row>
    <row r="244" ht="14.25" customHeight="1">
      <c r="A244" s="87"/>
      <c r="B244" s="87"/>
      <c r="C244" s="87"/>
      <c r="D244" s="87"/>
      <c r="E244" s="87"/>
      <c r="F244" s="87"/>
      <c r="G244" s="87"/>
      <c r="H244" s="87"/>
      <c r="I244" s="87"/>
    </row>
    <row r="245" ht="14.25" customHeight="1">
      <c r="A245" s="87"/>
      <c r="B245" s="87"/>
      <c r="C245" s="87"/>
      <c r="D245" s="87"/>
      <c r="E245" s="87"/>
      <c r="F245" s="87"/>
      <c r="G245" s="87"/>
      <c r="H245" s="87"/>
      <c r="I245" s="87"/>
    </row>
    <row r="246" ht="14.25" customHeight="1">
      <c r="A246" s="87"/>
      <c r="B246" s="87"/>
      <c r="C246" s="87"/>
      <c r="D246" s="87"/>
      <c r="E246" s="87"/>
      <c r="F246" s="87"/>
      <c r="G246" s="87"/>
      <c r="H246" s="87"/>
      <c r="I246" s="87"/>
    </row>
    <row r="247" ht="14.25" customHeight="1">
      <c r="A247" s="87"/>
      <c r="B247" s="87"/>
      <c r="C247" s="87"/>
      <c r="D247" s="87"/>
      <c r="E247" s="87"/>
      <c r="F247" s="87"/>
      <c r="G247" s="87"/>
      <c r="H247" s="87"/>
      <c r="I247" s="87"/>
    </row>
    <row r="248" ht="14.25" customHeight="1">
      <c r="A248" s="87"/>
      <c r="B248" s="87"/>
      <c r="C248" s="87"/>
      <c r="D248" s="87"/>
      <c r="E248" s="87"/>
      <c r="F248" s="87"/>
      <c r="G248" s="87"/>
      <c r="H248" s="87"/>
      <c r="I248" s="87"/>
    </row>
    <row r="249" ht="14.25" customHeight="1">
      <c r="A249" s="87"/>
      <c r="B249" s="87"/>
      <c r="C249" s="87"/>
      <c r="D249" s="87"/>
      <c r="E249" s="87"/>
      <c r="F249" s="87"/>
      <c r="G249" s="87"/>
      <c r="H249" s="87"/>
      <c r="I249" s="87"/>
    </row>
    <row r="250" ht="14.25" customHeight="1">
      <c r="A250" s="87"/>
      <c r="B250" s="87"/>
      <c r="C250" s="87"/>
      <c r="D250" s="87"/>
      <c r="E250" s="87"/>
      <c r="F250" s="87"/>
      <c r="G250" s="87"/>
      <c r="H250" s="87"/>
      <c r="I250" s="87"/>
    </row>
    <row r="251" ht="14.25" customHeight="1">
      <c r="A251" s="87"/>
      <c r="B251" s="87"/>
      <c r="C251" s="87"/>
      <c r="D251" s="87"/>
      <c r="E251" s="87"/>
      <c r="F251" s="87"/>
      <c r="G251" s="87"/>
      <c r="H251" s="87"/>
      <c r="I251" s="87"/>
    </row>
    <row r="252" ht="14.25" customHeight="1">
      <c r="A252" s="87"/>
      <c r="B252" s="87"/>
      <c r="C252" s="87"/>
      <c r="D252" s="87"/>
      <c r="E252" s="87"/>
      <c r="F252" s="87"/>
      <c r="G252" s="87"/>
      <c r="H252" s="87"/>
      <c r="I252" s="87"/>
    </row>
    <row r="253" ht="14.25" customHeight="1">
      <c r="A253" s="87"/>
      <c r="B253" s="87"/>
      <c r="C253" s="87"/>
      <c r="D253" s="87"/>
      <c r="E253" s="87"/>
      <c r="F253" s="87"/>
      <c r="G253" s="87"/>
      <c r="H253" s="87"/>
      <c r="I253" s="87"/>
    </row>
    <row r="254" ht="14.25" customHeight="1">
      <c r="A254" s="87"/>
      <c r="B254" s="87"/>
      <c r="C254" s="87"/>
      <c r="D254" s="87"/>
      <c r="E254" s="87"/>
      <c r="F254" s="87"/>
      <c r="G254" s="87"/>
      <c r="H254" s="87"/>
      <c r="I254" s="87"/>
    </row>
    <row r="255" ht="14.25" customHeight="1">
      <c r="A255" s="87"/>
      <c r="B255" s="87"/>
      <c r="C255" s="87"/>
      <c r="D255" s="87"/>
      <c r="E255" s="87"/>
      <c r="F255" s="87"/>
      <c r="G255" s="87"/>
      <c r="H255" s="87"/>
      <c r="I255" s="87"/>
    </row>
    <row r="256" ht="14.25" customHeight="1">
      <c r="A256" s="87"/>
      <c r="B256" s="87"/>
      <c r="C256" s="87"/>
      <c r="D256" s="87"/>
      <c r="E256" s="87"/>
      <c r="F256" s="87"/>
      <c r="G256" s="87"/>
      <c r="H256" s="87"/>
      <c r="I256" s="87"/>
    </row>
    <row r="257" ht="14.25" customHeight="1">
      <c r="A257" s="87"/>
      <c r="B257" s="87"/>
      <c r="C257" s="87"/>
      <c r="D257" s="87"/>
      <c r="E257" s="87"/>
      <c r="F257" s="87"/>
      <c r="G257" s="87"/>
      <c r="H257" s="87"/>
      <c r="I257" s="87"/>
    </row>
    <row r="258" ht="14.25" customHeight="1">
      <c r="A258" s="87"/>
      <c r="B258" s="87"/>
      <c r="C258" s="87"/>
      <c r="D258" s="87"/>
      <c r="E258" s="87"/>
      <c r="F258" s="87"/>
      <c r="G258" s="87"/>
      <c r="H258" s="87"/>
      <c r="I258" s="87"/>
    </row>
    <row r="259" ht="14.25" customHeight="1">
      <c r="A259" s="87"/>
      <c r="B259" s="87"/>
      <c r="C259" s="87"/>
      <c r="D259" s="87"/>
      <c r="E259" s="87"/>
      <c r="F259" s="87"/>
      <c r="G259" s="87"/>
      <c r="H259" s="87"/>
      <c r="I259" s="87"/>
    </row>
    <row r="260" ht="14.25" customHeight="1">
      <c r="A260" s="87"/>
      <c r="B260" s="87"/>
      <c r="C260" s="87"/>
      <c r="D260" s="87"/>
      <c r="E260" s="87"/>
      <c r="F260" s="87"/>
      <c r="G260" s="87"/>
      <c r="H260" s="87"/>
      <c r="I260" s="87"/>
    </row>
    <row r="261" ht="14.25" customHeight="1">
      <c r="A261" s="87"/>
      <c r="B261" s="87"/>
      <c r="C261" s="87"/>
      <c r="D261" s="87"/>
      <c r="E261" s="87"/>
      <c r="F261" s="87"/>
      <c r="G261" s="87"/>
      <c r="H261" s="87"/>
      <c r="I261" s="87"/>
    </row>
    <row r="262" ht="14.25" customHeight="1">
      <c r="A262" s="87"/>
      <c r="B262" s="87"/>
      <c r="C262" s="87"/>
      <c r="D262" s="87"/>
      <c r="E262" s="87"/>
      <c r="F262" s="87"/>
      <c r="G262" s="87"/>
      <c r="H262" s="87"/>
      <c r="I262" s="87"/>
    </row>
    <row r="263" ht="14.25" customHeight="1">
      <c r="A263" s="87"/>
      <c r="B263" s="87"/>
      <c r="C263" s="87"/>
      <c r="D263" s="87"/>
      <c r="E263" s="87"/>
      <c r="F263" s="87"/>
      <c r="G263" s="87"/>
      <c r="H263" s="87"/>
      <c r="I263" s="87"/>
    </row>
    <row r="264" ht="14.25" customHeight="1">
      <c r="A264" s="87"/>
      <c r="B264" s="87"/>
      <c r="C264" s="87"/>
      <c r="D264" s="87"/>
      <c r="E264" s="87"/>
      <c r="F264" s="87"/>
      <c r="G264" s="87"/>
      <c r="H264" s="87"/>
      <c r="I264" s="87"/>
    </row>
    <row r="265" ht="14.25" customHeight="1">
      <c r="A265" s="87"/>
      <c r="B265" s="87"/>
      <c r="C265" s="87"/>
      <c r="D265" s="87"/>
      <c r="E265" s="87"/>
      <c r="F265" s="87"/>
      <c r="G265" s="87"/>
      <c r="H265" s="87"/>
      <c r="I265" s="87"/>
    </row>
    <row r="266" ht="14.25" customHeight="1">
      <c r="A266" s="87"/>
      <c r="B266" s="87"/>
      <c r="C266" s="87"/>
      <c r="D266" s="87"/>
      <c r="E266" s="87"/>
      <c r="F266" s="87"/>
      <c r="G266" s="87"/>
      <c r="H266" s="87"/>
      <c r="I266" s="87"/>
    </row>
    <row r="267" ht="14.25" customHeight="1">
      <c r="A267" s="87"/>
      <c r="B267" s="87"/>
      <c r="C267" s="87"/>
      <c r="D267" s="87"/>
      <c r="E267" s="87"/>
      <c r="F267" s="87"/>
      <c r="G267" s="87"/>
      <c r="H267" s="87"/>
      <c r="I267" s="87"/>
    </row>
    <row r="268" ht="14.25" customHeight="1">
      <c r="A268" s="87"/>
      <c r="B268" s="87"/>
      <c r="C268" s="87"/>
      <c r="D268" s="87"/>
      <c r="E268" s="87"/>
      <c r="F268" s="87"/>
      <c r="G268" s="87"/>
      <c r="H268" s="87"/>
      <c r="I268" s="87"/>
    </row>
    <row r="269" ht="14.25" customHeight="1">
      <c r="A269" s="87"/>
      <c r="B269" s="87"/>
      <c r="C269" s="87"/>
      <c r="D269" s="87"/>
      <c r="E269" s="87"/>
      <c r="F269" s="87"/>
      <c r="G269" s="87"/>
      <c r="H269" s="87"/>
      <c r="I269" s="87"/>
    </row>
    <row r="270" ht="14.25" customHeight="1">
      <c r="A270" s="87"/>
      <c r="B270" s="87"/>
      <c r="C270" s="87"/>
      <c r="D270" s="87"/>
      <c r="E270" s="87"/>
      <c r="F270" s="87"/>
      <c r="G270" s="87"/>
      <c r="H270" s="87"/>
      <c r="I270" s="87"/>
    </row>
    <row r="271" ht="14.25" customHeight="1">
      <c r="A271" s="87"/>
      <c r="B271" s="87"/>
      <c r="C271" s="87"/>
      <c r="D271" s="87"/>
      <c r="E271" s="87"/>
      <c r="F271" s="87"/>
      <c r="G271" s="87"/>
      <c r="H271" s="87"/>
      <c r="I271" s="87"/>
    </row>
    <row r="272" ht="14.25" customHeight="1">
      <c r="A272" s="87"/>
      <c r="B272" s="87"/>
      <c r="C272" s="87"/>
      <c r="D272" s="87"/>
      <c r="E272" s="87"/>
      <c r="F272" s="87"/>
      <c r="G272" s="87"/>
      <c r="H272" s="87"/>
      <c r="I272" s="87"/>
    </row>
    <row r="273" ht="14.25" customHeight="1">
      <c r="A273" s="87"/>
      <c r="B273" s="87"/>
      <c r="C273" s="87"/>
      <c r="D273" s="87"/>
      <c r="E273" s="87"/>
      <c r="F273" s="87"/>
      <c r="G273" s="87"/>
      <c r="H273" s="87"/>
      <c r="I273" s="87"/>
    </row>
    <row r="274" ht="14.25" customHeight="1">
      <c r="A274" s="87"/>
      <c r="B274" s="87"/>
      <c r="C274" s="87"/>
      <c r="D274" s="87"/>
      <c r="E274" s="87"/>
      <c r="F274" s="87"/>
      <c r="G274" s="87"/>
      <c r="H274" s="87"/>
      <c r="I274" s="87"/>
    </row>
    <row r="275" ht="14.25" customHeight="1">
      <c r="A275" s="87"/>
      <c r="B275" s="87"/>
      <c r="C275" s="87"/>
      <c r="D275" s="87"/>
      <c r="E275" s="87"/>
      <c r="F275" s="87"/>
      <c r="G275" s="87"/>
      <c r="H275" s="87"/>
      <c r="I275" s="87"/>
    </row>
    <row r="276" ht="14.25" customHeight="1">
      <c r="A276" s="87"/>
      <c r="B276" s="87"/>
      <c r="C276" s="87"/>
      <c r="D276" s="87"/>
      <c r="E276" s="87"/>
      <c r="F276" s="87"/>
      <c r="G276" s="87"/>
      <c r="H276" s="87"/>
      <c r="I276" s="87"/>
    </row>
    <row r="277" ht="14.25" customHeight="1">
      <c r="A277" s="87"/>
      <c r="B277" s="87"/>
      <c r="C277" s="87"/>
      <c r="D277" s="87"/>
      <c r="E277" s="87"/>
      <c r="F277" s="87"/>
      <c r="G277" s="87"/>
      <c r="H277" s="87"/>
      <c r="I277" s="87"/>
    </row>
    <row r="278" ht="14.25" customHeight="1">
      <c r="A278" s="87"/>
      <c r="B278" s="87"/>
      <c r="C278" s="87"/>
      <c r="D278" s="87"/>
      <c r="E278" s="87"/>
      <c r="F278" s="87"/>
      <c r="G278" s="87"/>
      <c r="H278" s="87"/>
      <c r="I278" s="87"/>
    </row>
    <row r="279" ht="14.25" customHeight="1">
      <c r="A279" s="87"/>
      <c r="B279" s="87"/>
      <c r="C279" s="87"/>
      <c r="D279" s="87"/>
      <c r="E279" s="87"/>
      <c r="F279" s="87"/>
      <c r="G279" s="87"/>
      <c r="H279" s="87"/>
      <c r="I279" s="87"/>
    </row>
    <row r="280" ht="14.25" customHeight="1">
      <c r="A280" s="87"/>
      <c r="B280" s="87"/>
      <c r="C280" s="87"/>
      <c r="D280" s="87"/>
      <c r="E280" s="87"/>
      <c r="F280" s="87"/>
      <c r="G280" s="87"/>
      <c r="H280" s="87"/>
      <c r="I280" s="87"/>
    </row>
    <row r="281" ht="14.25" customHeight="1">
      <c r="A281" s="87"/>
      <c r="B281" s="87"/>
      <c r="C281" s="87"/>
      <c r="D281" s="87"/>
      <c r="E281" s="87"/>
      <c r="F281" s="87"/>
      <c r="G281" s="87"/>
      <c r="H281" s="87"/>
      <c r="I281" s="87"/>
    </row>
    <row r="282" ht="14.25" customHeight="1">
      <c r="A282" s="87"/>
      <c r="B282" s="87"/>
      <c r="C282" s="87"/>
      <c r="D282" s="87"/>
      <c r="E282" s="87"/>
      <c r="F282" s="87"/>
      <c r="G282" s="87"/>
      <c r="H282" s="87"/>
      <c r="I282" s="87"/>
    </row>
    <row r="283" ht="14.25" customHeight="1">
      <c r="A283" s="87"/>
      <c r="B283" s="87"/>
      <c r="C283" s="87"/>
      <c r="D283" s="87"/>
      <c r="E283" s="87"/>
      <c r="F283" s="87"/>
      <c r="G283" s="87"/>
      <c r="H283" s="87"/>
      <c r="I283" s="87"/>
    </row>
    <row r="284" ht="14.25" customHeight="1">
      <c r="A284" s="87"/>
      <c r="B284" s="87"/>
      <c r="C284" s="87"/>
      <c r="D284" s="87"/>
      <c r="E284" s="87"/>
      <c r="F284" s="87"/>
      <c r="G284" s="87"/>
      <c r="H284" s="87"/>
      <c r="I284" s="87"/>
    </row>
    <row r="285" ht="14.25" customHeight="1">
      <c r="A285" s="87"/>
      <c r="B285" s="87"/>
      <c r="C285" s="87"/>
      <c r="D285" s="87"/>
      <c r="E285" s="87"/>
      <c r="F285" s="87"/>
      <c r="G285" s="87"/>
      <c r="H285" s="87"/>
      <c r="I285" s="87"/>
    </row>
    <row r="286" ht="14.25" customHeight="1">
      <c r="A286" s="87"/>
      <c r="B286" s="87"/>
      <c r="C286" s="87"/>
      <c r="D286" s="87"/>
      <c r="E286" s="87"/>
      <c r="F286" s="87"/>
      <c r="G286" s="87"/>
      <c r="H286" s="87"/>
      <c r="I286" s="87"/>
    </row>
    <row r="287" ht="14.25" customHeight="1">
      <c r="A287" s="87"/>
      <c r="B287" s="87"/>
      <c r="C287" s="87"/>
      <c r="D287" s="87"/>
      <c r="E287" s="87"/>
      <c r="F287" s="87"/>
      <c r="G287" s="87"/>
      <c r="H287" s="87"/>
      <c r="I287" s="87"/>
    </row>
    <row r="288" ht="14.25" customHeight="1">
      <c r="A288" s="87"/>
      <c r="B288" s="87"/>
      <c r="C288" s="87"/>
      <c r="D288" s="87"/>
      <c r="E288" s="87"/>
      <c r="F288" s="87"/>
      <c r="G288" s="87"/>
      <c r="H288" s="87"/>
      <c r="I288" s="87"/>
    </row>
    <row r="289" ht="14.25" customHeight="1">
      <c r="A289" s="87"/>
      <c r="B289" s="87"/>
      <c r="C289" s="87"/>
      <c r="D289" s="87"/>
      <c r="E289" s="87"/>
      <c r="F289" s="87"/>
      <c r="G289" s="87"/>
      <c r="H289" s="87"/>
      <c r="I289" s="87"/>
    </row>
    <row r="290" ht="14.25" customHeight="1">
      <c r="A290" s="87"/>
      <c r="B290" s="87"/>
      <c r="C290" s="87"/>
      <c r="D290" s="87"/>
      <c r="E290" s="87"/>
      <c r="F290" s="87"/>
      <c r="G290" s="87"/>
      <c r="H290" s="87"/>
      <c r="I290" s="87"/>
    </row>
    <row r="291" ht="14.25" customHeight="1">
      <c r="A291" s="87"/>
      <c r="B291" s="87"/>
      <c r="C291" s="87"/>
      <c r="D291" s="87"/>
      <c r="E291" s="87"/>
      <c r="F291" s="87"/>
      <c r="G291" s="87"/>
      <c r="H291" s="87"/>
      <c r="I291" s="87"/>
    </row>
    <row r="292" ht="14.25" customHeight="1">
      <c r="A292" s="87"/>
      <c r="B292" s="87"/>
      <c r="C292" s="87"/>
      <c r="D292" s="87"/>
      <c r="E292" s="87"/>
      <c r="F292" s="87"/>
      <c r="G292" s="87"/>
      <c r="H292" s="87"/>
      <c r="I292" s="87"/>
    </row>
    <row r="293" ht="14.25" customHeight="1">
      <c r="A293" s="87"/>
      <c r="B293" s="87"/>
      <c r="C293" s="87"/>
      <c r="D293" s="87"/>
      <c r="E293" s="87"/>
      <c r="F293" s="87"/>
      <c r="G293" s="87"/>
      <c r="H293" s="87"/>
      <c r="I293" s="87"/>
    </row>
    <row r="294" ht="14.25" customHeight="1">
      <c r="A294" s="87"/>
      <c r="B294" s="87"/>
      <c r="C294" s="87"/>
      <c r="D294" s="87"/>
      <c r="E294" s="87"/>
      <c r="F294" s="87"/>
      <c r="G294" s="87"/>
      <c r="H294" s="87"/>
      <c r="I294" s="87"/>
    </row>
    <row r="295" ht="14.25" customHeight="1">
      <c r="A295" s="87"/>
      <c r="B295" s="87"/>
      <c r="C295" s="87"/>
      <c r="D295" s="87"/>
      <c r="E295" s="87"/>
      <c r="F295" s="87"/>
      <c r="G295" s="87"/>
      <c r="H295" s="87"/>
      <c r="I295" s="87"/>
    </row>
    <row r="296" ht="14.25" customHeight="1">
      <c r="A296" s="87"/>
      <c r="B296" s="87"/>
      <c r="C296" s="87"/>
      <c r="D296" s="87"/>
      <c r="E296" s="87"/>
      <c r="F296" s="87"/>
      <c r="G296" s="87"/>
      <c r="H296" s="87"/>
      <c r="I296" s="87"/>
    </row>
    <row r="297" ht="14.25" customHeight="1">
      <c r="A297" s="87"/>
      <c r="B297" s="87"/>
      <c r="C297" s="87"/>
      <c r="D297" s="87"/>
      <c r="E297" s="87"/>
      <c r="F297" s="87"/>
      <c r="G297" s="87"/>
      <c r="H297" s="87"/>
      <c r="I297" s="87"/>
    </row>
    <row r="298" ht="14.25" customHeight="1">
      <c r="A298" s="87"/>
      <c r="B298" s="87"/>
      <c r="C298" s="87"/>
      <c r="D298" s="87"/>
      <c r="E298" s="87"/>
      <c r="F298" s="87"/>
      <c r="G298" s="87"/>
      <c r="H298" s="87"/>
      <c r="I298" s="87"/>
    </row>
    <row r="299" ht="14.25" customHeight="1">
      <c r="A299" s="87"/>
      <c r="B299" s="87"/>
      <c r="C299" s="87"/>
      <c r="D299" s="87"/>
      <c r="E299" s="87"/>
      <c r="F299" s="87"/>
      <c r="G299" s="87"/>
      <c r="H299" s="87"/>
      <c r="I299" s="87"/>
    </row>
    <row r="300" ht="14.25" customHeight="1">
      <c r="A300" s="87"/>
      <c r="B300" s="87"/>
      <c r="C300" s="87"/>
      <c r="D300" s="87"/>
      <c r="E300" s="87"/>
      <c r="F300" s="87"/>
      <c r="G300" s="87"/>
      <c r="H300" s="87"/>
      <c r="I300" s="87"/>
    </row>
    <row r="301" ht="14.25" customHeight="1">
      <c r="A301" s="87"/>
      <c r="B301" s="87"/>
      <c r="C301" s="87"/>
      <c r="D301" s="87"/>
      <c r="E301" s="87"/>
      <c r="F301" s="87"/>
      <c r="G301" s="87"/>
      <c r="H301" s="87"/>
      <c r="I301" s="87"/>
    </row>
    <row r="302" ht="14.25" customHeight="1">
      <c r="A302" s="87"/>
      <c r="B302" s="87"/>
      <c r="C302" s="87"/>
      <c r="D302" s="87"/>
      <c r="E302" s="87"/>
      <c r="F302" s="87"/>
      <c r="G302" s="87"/>
      <c r="H302" s="87"/>
      <c r="I302" s="87"/>
    </row>
    <row r="303" ht="14.25" customHeight="1">
      <c r="A303" s="87"/>
      <c r="B303" s="87"/>
      <c r="C303" s="87"/>
      <c r="D303" s="87"/>
      <c r="E303" s="87"/>
      <c r="F303" s="87"/>
      <c r="G303" s="87"/>
      <c r="H303" s="87"/>
      <c r="I303" s="87"/>
    </row>
    <row r="304" ht="14.25" customHeight="1">
      <c r="A304" s="87"/>
      <c r="B304" s="87"/>
      <c r="C304" s="87"/>
      <c r="D304" s="87"/>
      <c r="E304" s="87"/>
      <c r="F304" s="87"/>
      <c r="G304" s="87"/>
      <c r="H304" s="87"/>
      <c r="I304" s="87"/>
    </row>
    <row r="305" ht="14.25" customHeight="1">
      <c r="A305" s="87"/>
      <c r="B305" s="87"/>
      <c r="C305" s="87"/>
      <c r="D305" s="87"/>
      <c r="E305" s="87"/>
      <c r="F305" s="87"/>
      <c r="G305" s="87"/>
      <c r="H305" s="87"/>
      <c r="I305" s="87"/>
    </row>
    <row r="306" ht="14.25" customHeight="1">
      <c r="A306" s="87"/>
      <c r="B306" s="87"/>
      <c r="C306" s="87"/>
      <c r="D306" s="87"/>
      <c r="E306" s="87"/>
      <c r="F306" s="87"/>
      <c r="G306" s="87"/>
      <c r="H306" s="87"/>
      <c r="I306" s="87"/>
    </row>
    <row r="307" ht="14.25" customHeight="1">
      <c r="A307" s="87"/>
      <c r="B307" s="87"/>
      <c r="C307" s="87"/>
      <c r="D307" s="87"/>
      <c r="E307" s="87"/>
      <c r="F307" s="87"/>
      <c r="G307" s="87"/>
      <c r="H307" s="87"/>
      <c r="I307" s="87"/>
    </row>
    <row r="308" ht="14.25" customHeight="1">
      <c r="A308" s="87"/>
      <c r="B308" s="87"/>
      <c r="C308" s="87"/>
      <c r="D308" s="87"/>
      <c r="E308" s="87"/>
      <c r="F308" s="87"/>
      <c r="G308" s="87"/>
      <c r="H308" s="87"/>
      <c r="I308" s="87"/>
    </row>
    <row r="309" ht="14.25" customHeight="1">
      <c r="A309" s="87"/>
      <c r="B309" s="87"/>
      <c r="C309" s="87"/>
      <c r="D309" s="87"/>
      <c r="E309" s="87"/>
      <c r="F309" s="87"/>
      <c r="G309" s="87"/>
      <c r="H309" s="87"/>
      <c r="I309" s="87"/>
    </row>
    <row r="310" ht="15.75" customHeight="1">
      <c r="I310" s="87"/>
    </row>
    <row r="311" ht="15.75" customHeight="1">
      <c r="I311" s="87"/>
    </row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G$112"/>
  <mergeCells count="44">
    <mergeCell ref="B49:B58"/>
    <mergeCell ref="I56:M58"/>
    <mergeCell ref="N56:R58"/>
    <mergeCell ref="S56:W58"/>
    <mergeCell ref="J59:M59"/>
    <mergeCell ref="O59:R59"/>
    <mergeCell ref="T59:W59"/>
    <mergeCell ref="B61:B66"/>
    <mergeCell ref="I82:M84"/>
    <mergeCell ref="N82:R84"/>
    <mergeCell ref="S82:W84"/>
    <mergeCell ref="J85:M85"/>
    <mergeCell ref="O85:R85"/>
    <mergeCell ref="T85:W85"/>
    <mergeCell ref="J9:M9"/>
    <mergeCell ref="O9:R9"/>
    <mergeCell ref="T9:W9"/>
    <mergeCell ref="AD9:AG9"/>
    <mergeCell ref="AI9:AL9"/>
    <mergeCell ref="AN9:AQ9"/>
    <mergeCell ref="I6:M8"/>
    <mergeCell ref="N6:R8"/>
    <mergeCell ref="S6:W8"/>
    <mergeCell ref="X6:AB8"/>
    <mergeCell ref="AC6:AG8"/>
    <mergeCell ref="AH6:AL8"/>
    <mergeCell ref="AM6:AQ8"/>
    <mergeCell ref="AC32:AG34"/>
    <mergeCell ref="AH32:AL34"/>
    <mergeCell ref="J35:M35"/>
    <mergeCell ref="O35:R35"/>
    <mergeCell ref="T35:W35"/>
    <mergeCell ref="Y35:AB35"/>
    <mergeCell ref="AD35:AG35"/>
    <mergeCell ref="AI35:AL35"/>
    <mergeCell ref="B2:B8"/>
    <mergeCell ref="B9:B10"/>
    <mergeCell ref="B11:B46"/>
    <mergeCell ref="I32:M34"/>
    <mergeCell ref="N32:R34"/>
    <mergeCell ref="S32:W34"/>
    <mergeCell ref="X32:AB34"/>
    <mergeCell ref="B67:B95"/>
    <mergeCell ref="B96:B11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3.5"/>
    <col customWidth="1" min="3" max="3" width="47.63"/>
    <col customWidth="1" min="4" max="4" width="10.5"/>
    <col customWidth="1" min="5" max="5" width="28.75"/>
    <col customWidth="1" min="6" max="6" width="8.38"/>
    <col customWidth="1" min="7" max="7" width="12.25"/>
    <col customWidth="1" min="8" max="8" width="10.13"/>
    <col customWidth="1" min="9" max="9" width="2.75"/>
    <col customWidth="1" min="10" max="10" width="15.0"/>
    <col customWidth="1" min="11" max="11" width="11.25"/>
    <col customWidth="1" min="12" max="12" width="8.75"/>
    <col customWidth="1" min="13" max="13" width="18.88"/>
    <col customWidth="1" min="14" max="14" width="47.75"/>
    <col customWidth="1" min="15" max="15" width="12.38"/>
    <col customWidth="1" min="16" max="27" width="10.63"/>
  </cols>
  <sheetData>
    <row r="1" ht="37.5" customHeight="1">
      <c r="A1" s="168" t="s">
        <v>301</v>
      </c>
      <c r="B1" s="184" t="s">
        <v>302</v>
      </c>
      <c r="C1" s="185" t="s">
        <v>303</v>
      </c>
      <c r="D1" s="185" t="s">
        <v>304</v>
      </c>
      <c r="E1" s="184" t="s">
        <v>305</v>
      </c>
      <c r="F1" s="185" t="s">
        <v>306</v>
      </c>
      <c r="G1" s="186" t="s">
        <v>307</v>
      </c>
      <c r="H1" s="185"/>
    </row>
    <row r="2" ht="14.25" customHeight="1">
      <c r="B2" s="187">
        <v>2.088128161E9</v>
      </c>
      <c r="C2" s="168" t="s">
        <v>308</v>
      </c>
      <c r="D2" s="168" t="s">
        <v>309</v>
      </c>
      <c r="E2" s="187" t="s">
        <v>147</v>
      </c>
      <c r="F2" s="168">
        <v>1.0</v>
      </c>
      <c r="G2" s="188">
        <v>584397.0</v>
      </c>
      <c r="H2" s="188"/>
      <c r="I2" s="189"/>
      <c r="J2" s="190" t="s">
        <v>209</v>
      </c>
      <c r="K2" s="191" t="s">
        <v>210</v>
      </c>
      <c r="L2" s="191" t="s">
        <v>6</v>
      </c>
      <c r="M2" s="191" t="s">
        <v>7</v>
      </c>
      <c r="N2" s="191" t="s">
        <v>5</v>
      </c>
      <c r="O2" s="192" t="s">
        <v>211</v>
      </c>
    </row>
    <row r="3" ht="14.25" customHeight="1">
      <c r="B3" s="187">
        <v>2.088104161E9</v>
      </c>
      <c r="C3" s="168" t="s">
        <v>308</v>
      </c>
      <c r="D3" s="168" t="s">
        <v>309</v>
      </c>
      <c r="E3" s="187" t="s">
        <v>14</v>
      </c>
      <c r="F3" s="168">
        <v>1.0</v>
      </c>
      <c r="G3" s="188">
        <v>526000.0</v>
      </c>
      <c r="H3" s="188"/>
      <c r="I3" s="193"/>
      <c r="J3" s="194" t="s">
        <v>212</v>
      </c>
      <c r="K3" s="195"/>
      <c r="L3" s="195"/>
      <c r="M3" s="195"/>
      <c r="N3" s="195"/>
      <c r="O3" s="196"/>
    </row>
    <row r="4" ht="14.25" customHeight="1">
      <c r="B4" s="187">
        <v>2.088142161E9</v>
      </c>
      <c r="C4" s="168" t="s">
        <v>308</v>
      </c>
      <c r="D4" s="168" t="s">
        <v>309</v>
      </c>
      <c r="E4" s="187" t="s">
        <v>150</v>
      </c>
      <c r="F4" s="168">
        <v>1.0</v>
      </c>
      <c r="G4" s="188">
        <v>822671.0</v>
      </c>
      <c r="H4" s="188"/>
      <c r="I4" s="193"/>
      <c r="J4" s="20"/>
      <c r="K4" s="195"/>
      <c r="L4" s="195"/>
      <c r="M4" s="195"/>
      <c r="N4" s="195"/>
      <c r="O4" s="196"/>
    </row>
    <row r="5" ht="14.25" customHeight="1">
      <c r="B5" s="187">
        <v>2.088144161E9</v>
      </c>
      <c r="C5" s="168" t="s">
        <v>310</v>
      </c>
      <c r="D5" s="168" t="s">
        <v>309</v>
      </c>
      <c r="E5" s="187" t="s">
        <v>151</v>
      </c>
      <c r="F5" s="168">
        <v>1.0</v>
      </c>
      <c r="G5" s="188">
        <v>1197762.0</v>
      </c>
      <c r="H5" s="188"/>
      <c r="I5" s="193"/>
      <c r="J5" s="20"/>
      <c r="K5" s="195"/>
      <c r="L5" s="195"/>
      <c r="M5" s="195"/>
      <c r="N5" s="195"/>
      <c r="O5" s="196"/>
    </row>
    <row r="6" ht="14.25" customHeight="1">
      <c r="B6" s="187">
        <v>2.088146161E9</v>
      </c>
      <c r="C6" s="168" t="s">
        <v>311</v>
      </c>
      <c r="D6" s="168" t="s">
        <v>309</v>
      </c>
      <c r="E6" s="187" t="s">
        <v>153</v>
      </c>
      <c r="F6" s="168">
        <v>1.0</v>
      </c>
      <c r="G6" s="188">
        <v>1300467.0</v>
      </c>
      <c r="H6" s="188"/>
      <c r="I6" s="193"/>
      <c r="J6" s="20"/>
      <c r="K6" s="195"/>
      <c r="L6" s="195"/>
      <c r="M6" s="195"/>
      <c r="N6" s="195"/>
      <c r="O6" s="196"/>
    </row>
    <row r="7" ht="14.25" customHeight="1">
      <c r="B7" s="187">
        <v>2.088148161E9</v>
      </c>
      <c r="C7" s="168" t="s">
        <v>312</v>
      </c>
      <c r="D7" s="168" t="s">
        <v>309</v>
      </c>
      <c r="E7" s="187" t="s">
        <v>155</v>
      </c>
      <c r="F7" s="168">
        <v>1.0</v>
      </c>
      <c r="G7" s="188">
        <v>1528677.0</v>
      </c>
      <c r="H7" s="188"/>
      <c r="I7" s="193"/>
      <c r="J7" s="20"/>
      <c r="K7" s="195"/>
      <c r="L7" s="195"/>
      <c r="M7" s="195"/>
      <c r="N7" s="195"/>
      <c r="O7" s="196"/>
    </row>
    <row r="8" ht="14.25" customHeight="1">
      <c r="B8" s="187">
        <v>2.088150161E9</v>
      </c>
      <c r="C8" s="168" t="s">
        <v>313</v>
      </c>
      <c r="D8" s="168" t="s">
        <v>309</v>
      </c>
      <c r="E8" s="187" t="s">
        <v>157</v>
      </c>
      <c r="F8" s="168">
        <v>1.0</v>
      </c>
      <c r="G8" s="188">
        <v>1945147.0</v>
      </c>
      <c r="H8" s="188"/>
      <c r="I8" s="193"/>
      <c r="J8" s="20"/>
      <c r="K8" s="195"/>
      <c r="L8" s="195"/>
      <c r="M8" s="195"/>
      <c r="N8" s="195"/>
      <c r="O8" s="196"/>
    </row>
    <row r="9" ht="14.25" customHeight="1">
      <c r="B9" s="187">
        <v>2.088140161E9</v>
      </c>
      <c r="C9" s="168" t="s">
        <v>314</v>
      </c>
      <c r="D9" s="168" t="s">
        <v>309</v>
      </c>
      <c r="E9" s="187" t="s">
        <v>159</v>
      </c>
      <c r="F9" s="168">
        <v>1.0</v>
      </c>
      <c r="G9" s="188">
        <v>2917871.0</v>
      </c>
      <c r="H9" s="188"/>
      <c r="I9" s="193"/>
      <c r="J9" s="21"/>
      <c r="K9" s="195"/>
      <c r="L9" s="195"/>
      <c r="M9" s="195"/>
      <c r="N9" s="195"/>
      <c r="O9" s="196"/>
    </row>
    <row r="10" ht="14.25" customHeight="1">
      <c r="B10" s="187">
        <v>2.088138161E9</v>
      </c>
      <c r="C10" s="168" t="s">
        <v>162</v>
      </c>
      <c r="D10" s="168" t="s">
        <v>309</v>
      </c>
      <c r="E10" s="187" t="s">
        <v>161</v>
      </c>
      <c r="F10" s="168">
        <v>1.0</v>
      </c>
      <c r="G10" s="188">
        <v>2910333.0</v>
      </c>
      <c r="H10" s="188"/>
      <c r="I10" s="193"/>
      <c r="J10" s="194" t="s">
        <v>220</v>
      </c>
      <c r="K10" s="195"/>
      <c r="L10" s="195"/>
      <c r="M10" s="195"/>
      <c r="N10" s="195"/>
      <c r="O10" s="196"/>
    </row>
    <row r="11" ht="14.25" customHeight="1">
      <c r="B11" s="187">
        <v>2.088156161E9</v>
      </c>
      <c r="C11" s="168" t="s">
        <v>315</v>
      </c>
      <c r="D11" s="168" t="s">
        <v>309</v>
      </c>
      <c r="E11" s="187" t="s">
        <v>316</v>
      </c>
      <c r="F11" s="168">
        <v>1.0</v>
      </c>
      <c r="G11" s="188">
        <v>4085832.0</v>
      </c>
      <c r="H11" s="188"/>
      <c r="I11" s="193"/>
      <c r="J11" s="21"/>
      <c r="K11" s="195"/>
      <c r="L11" s="195"/>
      <c r="M11" s="195"/>
      <c r="N11" s="195"/>
      <c r="O11" s="196"/>
    </row>
    <row r="12" ht="14.25" customHeight="1">
      <c r="B12" s="187">
        <v>2.088132161E9</v>
      </c>
      <c r="C12" s="168" t="s">
        <v>163</v>
      </c>
      <c r="D12" s="168" t="s">
        <v>317</v>
      </c>
      <c r="E12" s="187" t="s">
        <v>20</v>
      </c>
      <c r="F12" s="168">
        <v>1.0</v>
      </c>
      <c r="G12" s="188">
        <v>1656177.0</v>
      </c>
      <c r="H12" s="188"/>
      <c r="I12" s="193"/>
      <c r="J12" s="194" t="s">
        <v>222</v>
      </c>
      <c r="K12" s="197">
        <v>2.088142161E9</v>
      </c>
      <c r="L12" s="198" t="s">
        <v>318</v>
      </c>
      <c r="M12" s="198" t="s">
        <v>319</v>
      </c>
      <c r="N12" s="198" t="s">
        <v>149</v>
      </c>
      <c r="O12" s="199">
        <v>625890.0</v>
      </c>
    </row>
    <row r="13" ht="14.25" customHeight="1">
      <c r="B13" s="187">
        <v>2.088134161E9</v>
      </c>
      <c r="C13" s="168" t="s">
        <v>165</v>
      </c>
      <c r="D13" s="168" t="s">
        <v>309</v>
      </c>
      <c r="E13" s="187" t="s">
        <v>25</v>
      </c>
      <c r="F13" s="168">
        <v>1.0</v>
      </c>
      <c r="G13" s="188">
        <v>476874.0</v>
      </c>
      <c r="H13" s="188"/>
      <c r="I13" s="193"/>
      <c r="J13" s="20"/>
      <c r="K13" s="195"/>
      <c r="L13" s="195"/>
      <c r="M13" s="195"/>
      <c r="N13" s="195"/>
      <c r="O13" s="196"/>
    </row>
    <row r="14" ht="14.25" customHeight="1">
      <c r="B14" s="187">
        <v>2.088118161E9</v>
      </c>
      <c r="C14" s="168" t="s">
        <v>166</v>
      </c>
      <c r="D14" s="168" t="s">
        <v>309</v>
      </c>
      <c r="E14" s="187" t="s">
        <v>27</v>
      </c>
      <c r="F14" s="168">
        <v>1.0</v>
      </c>
      <c r="G14" s="188">
        <v>63044.0</v>
      </c>
      <c r="H14" s="188"/>
      <c r="I14" s="193"/>
      <c r="J14" s="21"/>
      <c r="K14" s="195"/>
      <c r="L14" s="195"/>
      <c r="M14" s="195"/>
      <c r="N14" s="195"/>
      <c r="O14" s="196"/>
    </row>
    <row r="15" ht="14.25" customHeight="1">
      <c r="B15" s="187">
        <v>2.088120161E9</v>
      </c>
      <c r="C15" s="168" t="s">
        <v>168</v>
      </c>
      <c r="D15" s="168" t="s">
        <v>309</v>
      </c>
      <c r="E15" s="187" t="s">
        <v>167</v>
      </c>
      <c r="F15" s="168">
        <v>1.0</v>
      </c>
      <c r="G15" s="188">
        <v>153941.0</v>
      </c>
      <c r="H15" s="188"/>
      <c r="I15" s="200"/>
      <c r="J15" s="201" t="s">
        <v>320</v>
      </c>
      <c r="K15" s="198">
        <v>2.088132161E9</v>
      </c>
      <c r="L15" s="198" t="s">
        <v>318</v>
      </c>
      <c r="M15" s="198" t="s">
        <v>321</v>
      </c>
      <c r="N15" s="198" t="s">
        <v>163</v>
      </c>
      <c r="O15" s="199">
        <v>3249740.0</v>
      </c>
    </row>
    <row r="16" ht="14.25" customHeight="1">
      <c r="B16" s="187">
        <v>2.088122161E9</v>
      </c>
      <c r="C16" s="168" t="s">
        <v>169</v>
      </c>
      <c r="D16" s="168" t="s">
        <v>309</v>
      </c>
      <c r="E16" s="187" t="s">
        <v>28</v>
      </c>
      <c r="F16" s="168">
        <v>1.0</v>
      </c>
      <c r="G16" s="188">
        <v>56485.0</v>
      </c>
      <c r="H16" s="188"/>
      <c r="I16" s="200"/>
      <c r="J16" s="20"/>
      <c r="K16" s="198">
        <v>2.088130161E9</v>
      </c>
      <c r="L16" s="198" t="s">
        <v>318</v>
      </c>
      <c r="M16" s="198" t="s">
        <v>322</v>
      </c>
      <c r="N16" s="198" t="s">
        <v>323</v>
      </c>
      <c r="O16" s="199"/>
    </row>
    <row r="17" ht="14.25" customHeight="1">
      <c r="B17" s="187">
        <v>2.089261128E9</v>
      </c>
      <c r="C17" s="168" t="s">
        <v>172</v>
      </c>
      <c r="D17" s="168" t="s">
        <v>309</v>
      </c>
      <c r="E17" s="187" t="s">
        <v>170</v>
      </c>
      <c r="F17" s="128">
        <v>1.0</v>
      </c>
      <c r="G17" s="188">
        <v>90000.0</v>
      </c>
      <c r="H17" s="188"/>
      <c r="I17" s="200"/>
      <c r="J17" s="21"/>
      <c r="K17" s="198"/>
      <c r="L17" s="198"/>
      <c r="M17" s="198"/>
      <c r="N17" s="198"/>
      <c r="O17" s="199"/>
    </row>
    <row r="18" ht="14.25" customHeight="1">
      <c r="B18" s="187">
        <v>2.09106128E8</v>
      </c>
      <c r="C18" s="168" t="s">
        <v>324</v>
      </c>
      <c r="D18" s="168" t="s">
        <v>309</v>
      </c>
      <c r="E18" s="187" t="s">
        <v>325</v>
      </c>
      <c r="F18" s="128">
        <v>1.0</v>
      </c>
      <c r="G18" s="188">
        <v>13540.0</v>
      </c>
      <c r="H18" s="188"/>
      <c r="I18" s="200"/>
      <c r="J18" s="202" t="s">
        <v>250</v>
      </c>
      <c r="K18" s="198">
        <v>2.088122161E9</v>
      </c>
      <c r="L18" s="198" t="s">
        <v>318</v>
      </c>
      <c r="M18" s="198" t="s">
        <v>28</v>
      </c>
      <c r="N18" s="198" t="s">
        <v>169</v>
      </c>
      <c r="O18" s="199">
        <v>44690.0</v>
      </c>
    </row>
    <row r="19" ht="14.25" customHeight="1">
      <c r="B19" s="187">
        <v>2.09104128E8</v>
      </c>
      <c r="C19" s="168" t="s">
        <v>326</v>
      </c>
      <c r="D19" s="168" t="s">
        <v>317</v>
      </c>
      <c r="E19" s="187" t="s">
        <v>327</v>
      </c>
      <c r="F19" s="128">
        <v>1.0</v>
      </c>
      <c r="G19" s="188">
        <v>16636.0</v>
      </c>
      <c r="H19" s="188"/>
      <c r="I19" s="200"/>
      <c r="J19" s="20"/>
      <c r="K19" s="198">
        <v>2.088134161E9</v>
      </c>
      <c r="L19" s="198" t="s">
        <v>318</v>
      </c>
      <c r="M19" s="198" t="s">
        <v>25</v>
      </c>
      <c r="N19" s="198" t="s">
        <v>165</v>
      </c>
      <c r="O19" s="199">
        <v>323960.0</v>
      </c>
    </row>
    <row r="20" ht="14.25" customHeight="1">
      <c r="B20" s="187">
        <v>2.09108128E8</v>
      </c>
      <c r="C20" s="168" t="s">
        <v>328</v>
      </c>
      <c r="D20" s="168" t="s">
        <v>309</v>
      </c>
      <c r="E20" s="187" t="s">
        <v>329</v>
      </c>
      <c r="F20" s="128">
        <v>1.0</v>
      </c>
      <c r="G20" s="188">
        <v>700.0</v>
      </c>
      <c r="H20" s="188"/>
      <c r="I20" s="200"/>
      <c r="J20" s="20"/>
      <c r="K20" s="195"/>
      <c r="L20" s="195"/>
      <c r="M20" s="195"/>
      <c r="N20" s="195"/>
      <c r="O20" s="196"/>
    </row>
    <row r="21" ht="14.25" customHeight="1">
      <c r="B21" s="187">
        <v>2.09136128E8</v>
      </c>
      <c r="C21" s="168" t="s">
        <v>330</v>
      </c>
      <c r="D21" s="168" t="s">
        <v>309</v>
      </c>
      <c r="E21" s="187" t="s">
        <v>331</v>
      </c>
      <c r="F21" s="128">
        <v>1.0</v>
      </c>
      <c r="G21" s="188">
        <v>567.0</v>
      </c>
      <c r="H21" s="188"/>
      <c r="I21" s="200"/>
      <c r="J21" s="20"/>
      <c r="K21" s="195"/>
      <c r="L21" s="195"/>
      <c r="M21" s="195"/>
      <c r="N21" s="195"/>
      <c r="O21" s="196"/>
    </row>
    <row r="22" ht="14.25" customHeight="1">
      <c r="B22" s="187">
        <v>9001266.0</v>
      </c>
      <c r="C22" s="168" t="s">
        <v>332</v>
      </c>
      <c r="D22" s="168" t="s">
        <v>317</v>
      </c>
      <c r="E22" s="187">
        <v>9001266.0</v>
      </c>
      <c r="F22" s="128">
        <v>1.0</v>
      </c>
      <c r="G22" s="188">
        <v>4900.0</v>
      </c>
      <c r="H22" s="188"/>
      <c r="I22" s="200"/>
      <c r="J22" s="20"/>
      <c r="K22" s="195"/>
      <c r="L22" s="195"/>
      <c r="M22" s="195"/>
      <c r="N22" s="195"/>
      <c r="O22" s="196"/>
    </row>
    <row r="23" ht="14.25" customHeight="1">
      <c r="B23" s="187">
        <v>1.17524266E8</v>
      </c>
      <c r="C23" s="168" t="s">
        <v>333</v>
      </c>
      <c r="D23" s="168" t="s">
        <v>317</v>
      </c>
      <c r="E23" s="187">
        <v>1.17524266E8</v>
      </c>
      <c r="F23" s="128">
        <v>1.0</v>
      </c>
      <c r="G23" s="188">
        <v>2676.0</v>
      </c>
      <c r="H23" s="188"/>
      <c r="I23" s="200"/>
      <c r="J23" s="21"/>
      <c r="K23" s="195"/>
      <c r="L23" s="195"/>
      <c r="M23" s="195"/>
      <c r="N23" s="195"/>
      <c r="O23" s="196"/>
    </row>
    <row r="24" ht="14.25" customHeight="1">
      <c r="B24" s="187">
        <v>3.30100419E8</v>
      </c>
      <c r="C24" s="168" t="s">
        <v>334</v>
      </c>
      <c r="D24" s="168" t="s">
        <v>317</v>
      </c>
      <c r="E24" s="187" t="s">
        <v>335</v>
      </c>
      <c r="F24" s="128">
        <v>1.0</v>
      </c>
      <c r="G24" s="188">
        <v>989.0</v>
      </c>
      <c r="H24" s="188"/>
      <c r="I24" s="203"/>
      <c r="J24" s="204" t="s">
        <v>251</v>
      </c>
      <c r="K24" s="195"/>
      <c r="L24" s="195"/>
      <c r="M24" s="195"/>
      <c r="N24" s="195"/>
      <c r="O24" s="196"/>
    </row>
    <row r="25" ht="14.25" customHeight="1">
      <c r="B25" s="187">
        <v>1.5350671E7</v>
      </c>
      <c r="C25" s="168" t="s">
        <v>336</v>
      </c>
      <c r="D25" s="168" t="s">
        <v>317</v>
      </c>
      <c r="E25" s="187">
        <v>2.0325273E7</v>
      </c>
      <c r="F25" s="128">
        <v>1.0</v>
      </c>
      <c r="G25" s="188">
        <v>1196.0</v>
      </c>
      <c r="H25" s="188"/>
      <c r="I25" s="203"/>
      <c r="J25" s="20"/>
      <c r="K25" s="195"/>
      <c r="L25" s="195"/>
      <c r="M25" s="195"/>
      <c r="N25" s="195"/>
      <c r="O25" s="196"/>
    </row>
    <row r="26" ht="14.25" customHeight="1">
      <c r="B26" s="187">
        <v>1.5150671E7</v>
      </c>
      <c r="C26" s="168" t="s">
        <v>337</v>
      </c>
      <c r="D26" s="168" t="s">
        <v>317</v>
      </c>
      <c r="E26" s="187">
        <v>2.0325272E7</v>
      </c>
      <c r="F26" s="128">
        <v>1.0</v>
      </c>
      <c r="G26" s="188">
        <v>1209.0</v>
      </c>
      <c r="H26" s="188"/>
      <c r="I26" s="203"/>
      <c r="J26" s="20"/>
      <c r="K26" s="195"/>
      <c r="L26" s="195"/>
      <c r="M26" s="195"/>
      <c r="N26" s="195"/>
      <c r="O26" s="196"/>
    </row>
    <row r="27" ht="14.25" customHeight="1">
      <c r="B27" s="187">
        <v>4220934.0</v>
      </c>
      <c r="C27" s="168" t="s">
        <v>338</v>
      </c>
      <c r="D27" s="168" t="s">
        <v>317</v>
      </c>
      <c r="E27" s="187">
        <v>4220934.0</v>
      </c>
      <c r="F27" s="128">
        <v>1.0</v>
      </c>
      <c r="G27" s="188">
        <v>135.0</v>
      </c>
      <c r="H27" s="188"/>
      <c r="I27" s="203"/>
      <c r="J27" s="20"/>
      <c r="K27" s="195"/>
      <c r="L27" s="195"/>
      <c r="M27" s="195"/>
      <c r="N27" s="195"/>
      <c r="O27" s="196"/>
    </row>
    <row r="28" ht="14.25" customHeight="1">
      <c r="B28" s="187">
        <v>660034.0</v>
      </c>
      <c r="C28" s="168" t="s">
        <v>339</v>
      </c>
      <c r="D28" s="168" t="s">
        <v>317</v>
      </c>
      <c r="E28" s="187">
        <v>660034.0</v>
      </c>
      <c r="F28" s="128">
        <v>1.0</v>
      </c>
      <c r="G28" s="188">
        <v>8357.0</v>
      </c>
      <c r="H28" s="188"/>
      <c r="I28" s="203"/>
      <c r="J28" s="21"/>
      <c r="K28" s="195"/>
      <c r="L28" s="195"/>
      <c r="M28" s="195"/>
      <c r="N28" s="195"/>
      <c r="O28" s="196"/>
    </row>
    <row r="29" ht="14.25" customHeight="1">
      <c r="B29" s="187">
        <v>2.088104161E9</v>
      </c>
      <c r="C29" s="168" t="s">
        <v>308</v>
      </c>
      <c r="D29" s="168" t="s">
        <v>317</v>
      </c>
      <c r="E29" s="187" t="s">
        <v>14</v>
      </c>
      <c r="F29" s="128">
        <v>1.0</v>
      </c>
      <c r="G29" s="188">
        <v>526000.0</v>
      </c>
      <c r="H29" s="188"/>
      <c r="I29" s="193"/>
      <c r="J29" s="194" t="s">
        <v>283</v>
      </c>
      <c r="K29" s="195"/>
      <c r="L29" s="198" t="s">
        <v>340</v>
      </c>
      <c r="M29" s="195"/>
      <c r="N29" s="198" t="s">
        <v>341</v>
      </c>
      <c r="O29" s="196"/>
    </row>
    <row r="30" ht="14.25" customHeight="1">
      <c r="B30" s="187">
        <v>2.088142161E9</v>
      </c>
      <c r="C30" s="168" t="s">
        <v>308</v>
      </c>
      <c r="D30" s="168" t="s">
        <v>309</v>
      </c>
      <c r="E30" s="187" t="s">
        <v>150</v>
      </c>
      <c r="F30" s="128">
        <v>1.0</v>
      </c>
      <c r="G30" s="188">
        <v>700000.0</v>
      </c>
      <c r="H30" s="188"/>
      <c r="I30" s="193"/>
      <c r="J30" s="20"/>
      <c r="K30" s="195"/>
      <c r="L30" s="198" t="s">
        <v>340</v>
      </c>
      <c r="M30" s="195"/>
      <c r="N30" s="198" t="s">
        <v>342</v>
      </c>
      <c r="O30" s="196"/>
    </row>
    <row r="31" ht="14.25" customHeight="1">
      <c r="B31" s="187">
        <v>2.088132161E9</v>
      </c>
      <c r="C31" s="168" t="s">
        <v>163</v>
      </c>
      <c r="D31" s="168" t="s">
        <v>309</v>
      </c>
      <c r="E31" s="187" t="s">
        <v>20</v>
      </c>
      <c r="F31" s="128">
        <v>1.0</v>
      </c>
      <c r="G31" s="188">
        <v>1425000.0</v>
      </c>
      <c r="H31" s="188"/>
      <c r="I31" s="193"/>
      <c r="J31" s="20"/>
      <c r="K31" s="195"/>
      <c r="L31" s="195"/>
      <c r="M31" s="195"/>
      <c r="N31" s="195"/>
      <c r="O31" s="196"/>
    </row>
    <row r="32" ht="14.25" customHeight="1">
      <c r="B32" s="187">
        <v>2.088130161E9</v>
      </c>
      <c r="C32" s="168" t="s">
        <v>164</v>
      </c>
      <c r="D32" s="168" t="s">
        <v>309</v>
      </c>
      <c r="E32" s="187" t="s">
        <v>23</v>
      </c>
      <c r="F32" s="128">
        <v>1.0</v>
      </c>
      <c r="G32" s="188">
        <v>625000.0</v>
      </c>
      <c r="H32" s="188"/>
      <c r="I32" s="193"/>
      <c r="J32" s="20"/>
      <c r="K32" s="195"/>
      <c r="L32" s="195"/>
      <c r="M32" s="195"/>
      <c r="N32" s="195"/>
      <c r="O32" s="196"/>
    </row>
    <row r="33" ht="14.25" customHeight="1">
      <c r="B33" s="187">
        <v>2.088134161E9</v>
      </c>
      <c r="C33" s="168" t="s">
        <v>165</v>
      </c>
      <c r="D33" s="168" t="s">
        <v>309</v>
      </c>
      <c r="E33" s="187" t="s">
        <v>25</v>
      </c>
      <c r="F33" s="128">
        <v>1.0</v>
      </c>
      <c r="G33" s="188">
        <v>370000.0</v>
      </c>
      <c r="H33" s="188"/>
      <c r="I33" s="193"/>
      <c r="J33" s="20"/>
      <c r="K33" s="195"/>
      <c r="L33" s="195"/>
      <c r="M33" s="195"/>
      <c r="N33" s="195"/>
      <c r="O33" s="196"/>
    </row>
    <row r="34" ht="14.25" customHeight="1">
      <c r="B34" s="187">
        <v>7723259.0</v>
      </c>
      <c r="C34" s="168" t="s">
        <v>343</v>
      </c>
      <c r="D34" s="168" t="s">
        <v>317</v>
      </c>
      <c r="E34" s="187" t="s">
        <v>344</v>
      </c>
      <c r="F34" s="128">
        <v>1.0</v>
      </c>
      <c r="G34" s="188">
        <v>26000.0</v>
      </c>
      <c r="H34" s="188"/>
      <c r="I34" s="193"/>
      <c r="J34" s="20"/>
      <c r="K34" s="195"/>
      <c r="L34" s="195"/>
      <c r="M34" s="195"/>
      <c r="N34" s="195"/>
      <c r="O34" s="196"/>
    </row>
    <row r="35" ht="14.25" customHeight="1">
      <c r="B35" s="187">
        <v>7124059.0</v>
      </c>
      <c r="C35" s="168" t="s">
        <v>345</v>
      </c>
      <c r="D35" s="168" t="s">
        <v>317</v>
      </c>
      <c r="E35" s="187" t="s">
        <v>346</v>
      </c>
      <c r="F35" s="128">
        <v>1.0</v>
      </c>
      <c r="G35" s="188">
        <v>32100.0</v>
      </c>
      <c r="H35" s="188"/>
      <c r="I35" s="193"/>
      <c r="J35" s="20"/>
      <c r="K35" s="195"/>
      <c r="L35" s="195"/>
      <c r="M35" s="195"/>
      <c r="N35" s="195"/>
      <c r="O35" s="196"/>
    </row>
    <row r="36" ht="14.25" customHeight="1">
      <c r="B36" s="187">
        <v>483204.0</v>
      </c>
      <c r="C36" s="168" t="s">
        <v>347</v>
      </c>
      <c r="D36" s="168" t="s">
        <v>317</v>
      </c>
      <c r="E36" s="187">
        <v>4832.0</v>
      </c>
      <c r="F36" s="128">
        <v>1.0</v>
      </c>
      <c r="G36" s="188">
        <v>7776.0</v>
      </c>
      <c r="H36" s="188"/>
      <c r="I36" s="193"/>
      <c r="J36" s="21"/>
      <c r="K36" s="195"/>
      <c r="L36" s="195"/>
      <c r="M36" s="195"/>
      <c r="N36" s="195"/>
      <c r="O36" s="196"/>
    </row>
    <row r="37" ht="14.25" customHeight="1">
      <c r="B37" s="187">
        <v>1.5350671E7</v>
      </c>
      <c r="C37" s="168" t="s">
        <v>336</v>
      </c>
      <c r="D37" s="168" t="s">
        <v>317</v>
      </c>
      <c r="E37" s="187">
        <v>2.0325273E7</v>
      </c>
      <c r="F37" s="128">
        <v>1.0</v>
      </c>
      <c r="G37" s="188">
        <v>1200.0</v>
      </c>
      <c r="H37" s="188"/>
    </row>
    <row r="38" ht="14.25" customHeight="1">
      <c r="B38" s="187">
        <v>1.5150671E7</v>
      </c>
      <c r="C38" s="168" t="s">
        <v>337</v>
      </c>
      <c r="D38" s="168" t="s">
        <v>317</v>
      </c>
      <c r="E38" s="187">
        <v>2.0325272E7</v>
      </c>
      <c r="F38" s="128">
        <v>1.0</v>
      </c>
      <c r="G38" s="188">
        <v>1200.0</v>
      </c>
      <c r="H38" s="188"/>
    </row>
    <row r="39" ht="14.25" customHeight="1">
      <c r="B39" s="187">
        <v>6813534.0</v>
      </c>
      <c r="C39" s="128" t="s">
        <v>348</v>
      </c>
      <c r="D39" s="168" t="s">
        <v>317</v>
      </c>
      <c r="E39" s="187">
        <v>6813534.0</v>
      </c>
      <c r="F39" s="128">
        <v>1.0</v>
      </c>
      <c r="G39" s="188">
        <v>2087.0</v>
      </c>
      <c r="H39" s="188"/>
    </row>
    <row r="40" ht="14.25" customHeight="1">
      <c r="B40" s="187">
        <v>3.30300619E8</v>
      </c>
      <c r="C40" s="168" t="s">
        <v>349</v>
      </c>
      <c r="D40" s="168" t="s">
        <v>309</v>
      </c>
      <c r="E40" s="187" t="s">
        <v>350</v>
      </c>
      <c r="F40" s="128">
        <v>1.0</v>
      </c>
      <c r="G40" s="188">
        <v>4429.0</v>
      </c>
      <c r="H40" s="188"/>
    </row>
    <row r="41" ht="14.25" customHeight="1">
      <c r="B41" s="187">
        <v>4222134.0</v>
      </c>
      <c r="C41" s="168" t="s">
        <v>351</v>
      </c>
      <c r="D41" s="168" t="s">
        <v>317</v>
      </c>
      <c r="E41" s="187">
        <v>4222134.0</v>
      </c>
      <c r="F41" s="128">
        <v>1.0</v>
      </c>
      <c r="G41" s="188">
        <v>343.0</v>
      </c>
      <c r="H41" s="188"/>
    </row>
    <row r="42" ht="14.25" customHeight="1">
      <c r="B42" s="187">
        <v>1.17201834E8</v>
      </c>
      <c r="C42" s="168" t="s">
        <v>352</v>
      </c>
      <c r="D42" s="168" t="s">
        <v>309</v>
      </c>
      <c r="E42" s="187">
        <v>1.17201834E8</v>
      </c>
      <c r="F42" s="128">
        <v>1.0</v>
      </c>
      <c r="G42" s="188">
        <v>10852.0</v>
      </c>
      <c r="H42" s="188"/>
    </row>
    <row r="43" ht="14.25" customHeight="1">
      <c r="B43" s="187">
        <v>2.088122161E9</v>
      </c>
      <c r="C43" s="168" t="s">
        <v>353</v>
      </c>
      <c r="D43" s="168" t="s">
        <v>309</v>
      </c>
      <c r="E43" s="187" t="s">
        <v>28</v>
      </c>
      <c r="F43" s="128">
        <v>1.0</v>
      </c>
      <c r="G43" s="205">
        <v>56485.0</v>
      </c>
      <c r="H43" s="188"/>
    </row>
    <row r="44" ht="14.25" customHeight="1">
      <c r="B44" s="187">
        <v>683234.0</v>
      </c>
      <c r="C44" s="168" t="s">
        <v>354</v>
      </c>
      <c r="D44" s="168" t="s">
        <v>309</v>
      </c>
      <c r="E44" s="187">
        <v>683234.0</v>
      </c>
      <c r="F44" s="128">
        <v>1.0</v>
      </c>
      <c r="G44" s="206">
        <v>4176.0</v>
      </c>
    </row>
    <row r="45" ht="14.25" customHeight="1">
      <c r="B45" s="187">
        <v>7712559.0</v>
      </c>
      <c r="C45" s="168" t="s">
        <v>355</v>
      </c>
      <c r="D45" s="168" t="s">
        <v>317</v>
      </c>
      <c r="E45" s="187" t="s">
        <v>356</v>
      </c>
      <c r="F45" s="168">
        <v>1.0</v>
      </c>
      <c r="G45" s="207">
        <v>5.6</v>
      </c>
    </row>
    <row r="46" ht="14.25" customHeight="1">
      <c r="B46" s="208"/>
      <c r="E46" s="208"/>
      <c r="G46" s="209"/>
    </row>
    <row r="47" ht="14.25" customHeight="1">
      <c r="B47" s="208"/>
      <c r="E47" s="208"/>
      <c r="G47" s="209"/>
    </row>
    <row r="48" ht="14.25" customHeight="1">
      <c r="B48" s="208"/>
      <c r="E48" s="208"/>
      <c r="G48" s="209"/>
    </row>
    <row r="49" ht="14.25" customHeight="1">
      <c r="E49" s="208"/>
      <c r="G49" s="209"/>
    </row>
    <row r="50" ht="14.25" customHeight="1">
      <c r="E50" s="208"/>
      <c r="G50" s="209"/>
    </row>
    <row r="51" ht="14.25" customHeight="1">
      <c r="B51" s="208"/>
      <c r="E51" s="208"/>
      <c r="G51" s="209"/>
    </row>
    <row r="52" ht="14.25" customHeight="1">
      <c r="B52" s="208"/>
      <c r="E52" s="208"/>
      <c r="G52" s="209"/>
    </row>
    <row r="53" ht="14.25" customHeight="1">
      <c r="B53" s="208"/>
      <c r="E53" s="208"/>
      <c r="G53" s="209"/>
    </row>
    <row r="54" ht="14.25" customHeight="1">
      <c r="B54" s="208"/>
      <c r="E54" s="208"/>
      <c r="G54" s="209"/>
    </row>
    <row r="55" ht="14.25" customHeight="1">
      <c r="B55" s="208"/>
      <c r="E55" s="208"/>
      <c r="G55" s="209"/>
    </row>
    <row r="56" ht="14.25" customHeight="1">
      <c r="B56" s="208"/>
      <c r="E56" s="208"/>
      <c r="G56" s="209"/>
    </row>
    <row r="57" ht="14.25" customHeight="1">
      <c r="B57" s="208"/>
      <c r="E57" s="208"/>
      <c r="G57" s="209"/>
    </row>
    <row r="58" ht="14.25" customHeight="1">
      <c r="B58" s="208"/>
      <c r="E58" s="208"/>
      <c r="G58" s="209"/>
    </row>
    <row r="59" ht="14.25" customHeight="1">
      <c r="B59" s="208"/>
      <c r="E59" s="208"/>
      <c r="G59" s="209"/>
    </row>
    <row r="60" ht="14.25" customHeight="1">
      <c r="B60" s="208"/>
      <c r="E60" s="208"/>
      <c r="G60" s="209"/>
    </row>
    <row r="61" ht="14.25" customHeight="1">
      <c r="B61" s="208"/>
      <c r="E61" s="208"/>
      <c r="G61" s="209"/>
    </row>
    <row r="62" ht="14.25" customHeight="1">
      <c r="B62" s="208"/>
      <c r="E62" s="208"/>
      <c r="G62" s="209"/>
    </row>
    <row r="63" ht="14.25" customHeight="1">
      <c r="B63" s="208"/>
      <c r="E63" s="208"/>
      <c r="G63" s="209"/>
    </row>
    <row r="64" ht="14.25" customHeight="1">
      <c r="B64" s="208"/>
      <c r="E64" s="208"/>
      <c r="G64" s="209"/>
    </row>
    <row r="65" ht="14.25" customHeight="1">
      <c r="B65" s="208"/>
      <c r="E65" s="208"/>
      <c r="G65" s="209"/>
    </row>
    <row r="66" ht="14.25" customHeight="1">
      <c r="B66" s="208"/>
      <c r="E66" s="208"/>
      <c r="G66" s="209"/>
    </row>
    <row r="67" ht="14.25" customHeight="1">
      <c r="B67" s="208"/>
      <c r="E67" s="208"/>
      <c r="G67" s="209"/>
    </row>
    <row r="68" ht="14.25" customHeight="1">
      <c r="B68" s="208"/>
      <c r="E68" s="208"/>
      <c r="G68" s="209"/>
    </row>
    <row r="69" ht="14.25" customHeight="1">
      <c r="B69" s="208"/>
      <c r="E69" s="208"/>
      <c r="G69" s="209"/>
    </row>
    <row r="70" ht="14.25" customHeight="1">
      <c r="B70" s="208"/>
      <c r="E70" s="208"/>
      <c r="G70" s="209"/>
    </row>
    <row r="71" ht="14.25" customHeight="1">
      <c r="B71" s="208"/>
      <c r="E71" s="208"/>
      <c r="G71" s="209"/>
    </row>
    <row r="72" ht="14.25" customHeight="1">
      <c r="B72" s="208"/>
      <c r="E72" s="208"/>
      <c r="G72" s="209"/>
    </row>
    <row r="73" ht="14.25" customHeight="1">
      <c r="B73" s="208"/>
      <c r="E73" s="208"/>
      <c r="G73" s="209"/>
    </row>
    <row r="74" ht="14.25" customHeight="1">
      <c r="B74" s="208"/>
      <c r="E74" s="208"/>
      <c r="G74" s="209"/>
    </row>
    <row r="75" ht="14.25" customHeight="1">
      <c r="B75" s="208"/>
      <c r="E75" s="208"/>
      <c r="G75" s="209"/>
    </row>
    <row r="76" ht="14.25" customHeight="1">
      <c r="B76" s="208"/>
      <c r="E76" s="208"/>
      <c r="G76" s="209"/>
    </row>
    <row r="77" ht="14.25" customHeight="1">
      <c r="B77" s="208"/>
      <c r="E77" s="208"/>
      <c r="G77" s="209"/>
    </row>
    <row r="78" ht="14.25" customHeight="1">
      <c r="B78" s="208"/>
      <c r="E78" s="208"/>
      <c r="G78" s="209"/>
    </row>
    <row r="79" ht="14.25" customHeight="1">
      <c r="B79" s="208"/>
      <c r="E79" s="208"/>
      <c r="G79" s="209"/>
    </row>
    <row r="80" ht="14.25" customHeight="1">
      <c r="B80" s="208"/>
      <c r="E80" s="208"/>
      <c r="G80" s="209"/>
    </row>
    <row r="81" ht="14.25" customHeight="1">
      <c r="B81" s="208"/>
      <c r="E81" s="208"/>
      <c r="G81" s="209"/>
    </row>
    <row r="82" ht="14.25" customHeight="1">
      <c r="B82" s="208"/>
      <c r="E82" s="208"/>
      <c r="G82" s="209"/>
    </row>
    <row r="83" ht="14.25" customHeight="1">
      <c r="B83" s="208"/>
      <c r="E83" s="208"/>
      <c r="G83" s="209"/>
    </row>
    <row r="84" ht="14.25" customHeight="1">
      <c r="B84" s="208"/>
      <c r="E84" s="208"/>
      <c r="G84" s="209"/>
    </row>
    <row r="85" ht="14.25" customHeight="1">
      <c r="B85" s="208"/>
      <c r="E85" s="208"/>
      <c r="G85" s="209"/>
    </row>
    <row r="86" ht="14.25" customHeight="1">
      <c r="B86" s="208"/>
      <c r="E86" s="208"/>
      <c r="G86" s="209"/>
    </row>
    <row r="87" ht="14.25" customHeight="1">
      <c r="B87" s="208"/>
      <c r="E87" s="208"/>
      <c r="G87" s="209"/>
    </row>
    <row r="88" ht="14.25" customHeight="1">
      <c r="B88" s="208"/>
      <c r="E88" s="208"/>
      <c r="G88" s="209"/>
    </row>
    <row r="89" ht="14.25" customHeight="1">
      <c r="B89" s="208"/>
      <c r="E89" s="208"/>
      <c r="G89" s="209"/>
    </row>
    <row r="90" ht="14.25" customHeight="1">
      <c r="B90" s="208"/>
      <c r="E90" s="208"/>
      <c r="G90" s="209"/>
    </row>
    <row r="91" ht="14.25" customHeight="1">
      <c r="B91" s="208"/>
      <c r="E91" s="208"/>
      <c r="G91" s="209"/>
    </row>
    <row r="92" ht="14.25" customHeight="1">
      <c r="B92" s="208"/>
      <c r="E92" s="208"/>
      <c r="G92" s="209"/>
    </row>
    <row r="93" ht="14.25" customHeight="1">
      <c r="B93" s="208"/>
      <c r="E93" s="208"/>
      <c r="G93" s="209"/>
    </row>
    <row r="94" ht="14.25" customHeight="1">
      <c r="B94" s="208"/>
      <c r="E94" s="208"/>
      <c r="G94" s="209"/>
    </row>
    <row r="95" ht="14.25" customHeight="1">
      <c r="B95" s="208"/>
      <c r="E95" s="208"/>
      <c r="G95" s="209"/>
    </row>
    <row r="96" ht="14.25" customHeight="1">
      <c r="B96" s="208"/>
      <c r="E96" s="208"/>
      <c r="G96" s="209"/>
    </row>
    <row r="97" ht="14.25" customHeight="1">
      <c r="B97" s="208"/>
      <c r="E97" s="208"/>
      <c r="G97" s="209"/>
    </row>
    <row r="98" ht="14.25" customHeight="1">
      <c r="B98" s="208"/>
      <c r="E98" s="208"/>
      <c r="G98" s="209"/>
    </row>
    <row r="99" ht="14.25" customHeight="1">
      <c r="B99" s="208"/>
      <c r="E99" s="208"/>
      <c r="G99" s="209"/>
    </row>
    <row r="100" ht="14.25" customHeight="1">
      <c r="B100" s="208"/>
      <c r="E100" s="208"/>
      <c r="G100" s="209"/>
    </row>
    <row r="101" ht="14.25" customHeight="1">
      <c r="B101" s="208"/>
      <c r="E101" s="208"/>
      <c r="G101" s="209"/>
    </row>
    <row r="102" ht="14.25" customHeight="1">
      <c r="B102" s="208"/>
      <c r="E102" s="208"/>
      <c r="G102" s="209"/>
    </row>
    <row r="103" ht="14.25" customHeight="1">
      <c r="B103" s="208"/>
      <c r="E103" s="208"/>
      <c r="G103" s="209"/>
    </row>
    <row r="104" ht="14.25" customHeight="1">
      <c r="B104" s="208"/>
      <c r="E104" s="208"/>
      <c r="G104" s="209"/>
    </row>
    <row r="105" ht="14.25" customHeight="1">
      <c r="B105" s="208"/>
      <c r="E105" s="208"/>
      <c r="G105" s="209"/>
    </row>
    <row r="106" ht="14.25" customHeight="1">
      <c r="B106" s="208"/>
      <c r="E106" s="208"/>
      <c r="G106" s="209"/>
    </row>
    <row r="107" ht="14.25" customHeight="1">
      <c r="B107" s="208"/>
      <c r="E107" s="208"/>
      <c r="G107" s="209"/>
    </row>
    <row r="108" ht="14.25" customHeight="1">
      <c r="B108" s="208"/>
      <c r="E108" s="208"/>
      <c r="G108" s="209"/>
    </row>
    <row r="109" ht="14.25" customHeight="1">
      <c r="B109" s="208"/>
      <c r="E109" s="208"/>
      <c r="G109" s="209"/>
    </row>
    <row r="110" ht="14.25" customHeight="1">
      <c r="B110" s="208"/>
      <c r="E110" s="208"/>
      <c r="G110" s="209"/>
    </row>
    <row r="111" ht="14.25" customHeight="1">
      <c r="B111" s="208"/>
      <c r="E111" s="208"/>
      <c r="G111" s="209"/>
    </row>
    <row r="112" ht="14.25" customHeight="1">
      <c r="B112" s="208"/>
      <c r="E112" s="208"/>
      <c r="G112" s="209"/>
    </row>
    <row r="113" ht="14.25" customHeight="1">
      <c r="B113" s="208"/>
      <c r="E113" s="208"/>
      <c r="G113" s="209"/>
    </row>
    <row r="114" ht="14.25" customHeight="1">
      <c r="B114" s="208"/>
      <c r="E114" s="208"/>
      <c r="G114" s="209"/>
    </row>
    <row r="115" ht="14.25" customHeight="1">
      <c r="B115" s="208"/>
      <c r="E115" s="208"/>
      <c r="G115" s="209"/>
    </row>
    <row r="116" ht="14.25" customHeight="1">
      <c r="B116" s="208"/>
      <c r="E116" s="208"/>
      <c r="G116" s="209"/>
    </row>
    <row r="117" ht="14.25" customHeight="1">
      <c r="B117" s="208"/>
      <c r="E117" s="208"/>
      <c r="G117" s="209"/>
    </row>
    <row r="118" ht="14.25" customHeight="1">
      <c r="B118" s="208"/>
      <c r="E118" s="208"/>
      <c r="G118" s="209"/>
    </row>
    <row r="119" ht="14.25" customHeight="1">
      <c r="B119" s="208"/>
      <c r="E119" s="208"/>
      <c r="G119" s="209"/>
    </row>
    <row r="120" ht="14.25" customHeight="1">
      <c r="B120" s="208"/>
      <c r="E120" s="208"/>
      <c r="G120" s="209"/>
    </row>
    <row r="121" ht="14.25" customHeight="1">
      <c r="B121" s="208"/>
      <c r="E121" s="208"/>
      <c r="G121" s="209"/>
    </row>
    <row r="122" ht="14.25" customHeight="1">
      <c r="B122" s="208"/>
      <c r="E122" s="208"/>
      <c r="G122" s="209"/>
    </row>
    <row r="123" ht="14.25" customHeight="1">
      <c r="B123" s="208"/>
      <c r="E123" s="208"/>
      <c r="G123" s="209"/>
    </row>
    <row r="124" ht="14.25" customHeight="1">
      <c r="B124" s="208"/>
      <c r="E124" s="208"/>
      <c r="G124" s="209"/>
    </row>
    <row r="125" ht="14.25" customHeight="1">
      <c r="B125" s="208"/>
      <c r="E125" s="208"/>
      <c r="G125" s="209"/>
    </row>
    <row r="126" ht="14.25" customHeight="1">
      <c r="B126" s="208"/>
      <c r="E126" s="208"/>
      <c r="G126" s="209"/>
    </row>
    <row r="127" ht="14.25" customHeight="1">
      <c r="B127" s="208"/>
      <c r="E127" s="208"/>
      <c r="G127" s="209"/>
    </row>
    <row r="128" ht="14.25" customHeight="1">
      <c r="B128" s="208"/>
      <c r="E128" s="208"/>
      <c r="G128" s="209"/>
    </row>
    <row r="129" ht="14.25" customHeight="1">
      <c r="B129" s="208"/>
      <c r="E129" s="208"/>
      <c r="G129" s="209"/>
    </row>
    <row r="130" ht="14.25" customHeight="1">
      <c r="B130" s="208"/>
      <c r="E130" s="208"/>
      <c r="G130" s="209"/>
    </row>
    <row r="131" ht="14.25" customHeight="1">
      <c r="B131" s="208"/>
      <c r="E131" s="208"/>
      <c r="G131" s="209"/>
    </row>
    <row r="132" ht="14.25" customHeight="1">
      <c r="B132" s="208"/>
      <c r="E132" s="208"/>
      <c r="G132" s="209"/>
    </row>
    <row r="133" ht="14.25" customHeight="1">
      <c r="B133" s="208"/>
      <c r="E133" s="208"/>
      <c r="G133" s="209"/>
    </row>
    <row r="134" ht="14.25" customHeight="1">
      <c r="B134" s="208"/>
      <c r="E134" s="208"/>
      <c r="G134" s="209"/>
    </row>
    <row r="135" ht="14.25" customHeight="1">
      <c r="B135" s="208"/>
      <c r="E135" s="208"/>
      <c r="G135" s="209"/>
    </row>
    <row r="136" ht="14.25" customHeight="1">
      <c r="B136" s="208"/>
      <c r="E136" s="208"/>
      <c r="G136" s="209"/>
    </row>
    <row r="137" ht="14.25" customHeight="1">
      <c r="B137" s="208"/>
      <c r="E137" s="208"/>
      <c r="G137" s="209"/>
    </row>
    <row r="138" ht="14.25" customHeight="1">
      <c r="B138" s="208"/>
      <c r="E138" s="208"/>
      <c r="G138" s="209"/>
    </row>
    <row r="139" ht="14.25" customHeight="1">
      <c r="B139" s="208"/>
      <c r="E139" s="208"/>
      <c r="G139" s="209"/>
    </row>
    <row r="140" ht="14.25" customHeight="1">
      <c r="B140" s="208"/>
      <c r="E140" s="208"/>
      <c r="G140" s="209"/>
    </row>
    <row r="141" ht="14.25" customHeight="1">
      <c r="B141" s="208"/>
      <c r="E141" s="208"/>
      <c r="G141" s="209"/>
    </row>
    <row r="142" ht="14.25" customHeight="1">
      <c r="B142" s="208"/>
      <c r="E142" s="208"/>
      <c r="G142" s="209"/>
    </row>
    <row r="143" ht="14.25" customHeight="1">
      <c r="B143" s="208"/>
      <c r="E143" s="208"/>
      <c r="G143" s="209"/>
    </row>
    <row r="144" ht="14.25" customHeight="1">
      <c r="B144" s="208"/>
      <c r="E144" s="208"/>
      <c r="G144" s="209"/>
    </row>
    <row r="145" ht="14.25" customHeight="1">
      <c r="B145" s="208"/>
      <c r="E145" s="208"/>
      <c r="G145" s="209"/>
    </row>
    <row r="146" ht="14.25" customHeight="1">
      <c r="B146" s="208"/>
      <c r="E146" s="208"/>
      <c r="G146" s="209"/>
    </row>
    <row r="147" ht="14.25" customHeight="1">
      <c r="B147" s="208"/>
      <c r="E147" s="208"/>
      <c r="G147" s="209"/>
    </row>
    <row r="148" ht="14.25" customHeight="1">
      <c r="B148" s="208"/>
      <c r="E148" s="208"/>
      <c r="G148" s="209"/>
    </row>
    <row r="149" ht="14.25" customHeight="1">
      <c r="B149" s="208"/>
      <c r="E149" s="208"/>
      <c r="G149" s="209"/>
    </row>
    <row r="150" ht="14.25" customHeight="1">
      <c r="B150" s="208"/>
      <c r="E150" s="208"/>
      <c r="G150" s="209"/>
    </row>
    <row r="151" ht="14.25" customHeight="1">
      <c r="B151" s="208"/>
      <c r="E151" s="208"/>
      <c r="G151" s="209"/>
    </row>
    <row r="152" ht="14.25" customHeight="1">
      <c r="B152" s="208"/>
      <c r="E152" s="208"/>
      <c r="G152" s="209"/>
    </row>
    <row r="153" ht="14.25" customHeight="1">
      <c r="B153" s="208"/>
      <c r="E153" s="208"/>
      <c r="G153" s="209"/>
    </row>
    <row r="154" ht="14.25" customHeight="1">
      <c r="B154" s="208"/>
      <c r="E154" s="208"/>
      <c r="G154" s="209"/>
    </row>
    <row r="155" ht="14.25" customHeight="1">
      <c r="B155" s="208"/>
      <c r="E155" s="208"/>
      <c r="G155" s="209"/>
    </row>
    <row r="156" ht="14.25" customHeight="1">
      <c r="B156" s="208"/>
      <c r="E156" s="208"/>
      <c r="G156" s="209"/>
    </row>
    <row r="157" ht="14.25" customHeight="1">
      <c r="B157" s="208"/>
      <c r="E157" s="208"/>
      <c r="G157" s="209"/>
    </row>
    <row r="158" ht="14.25" customHeight="1">
      <c r="B158" s="208"/>
      <c r="E158" s="208"/>
      <c r="G158" s="209"/>
    </row>
    <row r="159" ht="14.25" customHeight="1">
      <c r="B159" s="208"/>
      <c r="E159" s="208"/>
      <c r="G159" s="209"/>
    </row>
    <row r="160" ht="14.25" customHeight="1">
      <c r="B160" s="208"/>
      <c r="E160" s="208"/>
      <c r="G160" s="209"/>
    </row>
    <row r="161" ht="14.25" customHeight="1">
      <c r="B161" s="208"/>
      <c r="E161" s="208"/>
      <c r="G161" s="209"/>
    </row>
    <row r="162" ht="14.25" customHeight="1">
      <c r="B162" s="208"/>
      <c r="E162" s="208"/>
      <c r="G162" s="209"/>
    </row>
    <row r="163" ht="14.25" customHeight="1">
      <c r="B163" s="208"/>
      <c r="E163" s="208"/>
      <c r="G163" s="209"/>
    </row>
    <row r="164" ht="14.25" customHeight="1">
      <c r="B164" s="208"/>
      <c r="E164" s="208"/>
      <c r="G164" s="209"/>
    </row>
    <row r="165" ht="14.25" customHeight="1">
      <c r="B165" s="208"/>
      <c r="E165" s="208"/>
      <c r="G165" s="209"/>
    </row>
    <row r="166" ht="14.25" customHeight="1">
      <c r="B166" s="208"/>
      <c r="E166" s="208"/>
      <c r="G166" s="209"/>
    </row>
    <row r="167" ht="14.25" customHeight="1">
      <c r="B167" s="208"/>
      <c r="E167" s="208"/>
      <c r="G167" s="209"/>
    </row>
    <row r="168" ht="14.25" customHeight="1">
      <c r="B168" s="208"/>
      <c r="E168" s="208"/>
      <c r="G168" s="209"/>
    </row>
    <row r="169" ht="14.25" customHeight="1">
      <c r="B169" s="208"/>
      <c r="E169" s="208"/>
      <c r="G169" s="209"/>
    </row>
    <row r="170" ht="14.25" customHeight="1">
      <c r="B170" s="208"/>
      <c r="E170" s="208"/>
      <c r="G170" s="209"/>
    </row>
    <row r="171" ht="14.25" customHeight="1">
      <c r="B171" s="208"/>
      <c r="E171" s="208"/>
      <c r="G171" s="209"/>
    </row>
    <row r="172" ht="14.25" customHeight="1">
      <c r="B172" s="208"/>
      <c r="E172" s="208"/>
      <c r="G172" s="209"/>
    </row>
    <row r="173" ht="14.25" customHeight="1">
      <c r="B173" s="208"/>
      <c r="E173" s="208"/>
      <c r="G173" s="209"/>
    </row>
    <row r="174" ht="14.25" customHeight="1">
      <c r="B174" s="208"/>
      <c r="E174" s="208"/>
      <c r="G174" s="209"/>
    </row>
    <row r="175" ht="14.25" customHeight="1">
      <c r="B175" s="208"/>
      <c r="E175" s="208"/>
      <c r="G175" s="209"/>
    </row>
    <row r="176" ht="14.25" customHeight="1">
      <c r="B176" s="208"/>
      <c r="E176" s="208"/>
      <c r="G176" s="209"/>
    </row>
    <row r="177" ht="14.25" customHeight="1">
      <c r="B177" s="208"/>
      <c r="E177" s="208"/>
      <c r="G177" s="209"/>
    </row>
    <row r="178" ht="14.25" customHeight="1">
      <c r="B178" s="208"/>
      <c r="E178" s="208"/>
      <c r="G178" s="209"/>
    </row>
    <row r="179" ht="14.25" customHeight="1">
      <c r="B179" s="208"/>
      <c r="E179" s="208"/>
      <c r="G179" s="209"/>
    </row>
    <row r="180" ht="14.25" customHeight="1">
      <c r="B180" s="208"/>
      <c r="E180" s="208"/>
      <c r="G180" s="209"/>
    </row>
    <row r="181" ht="14.25" customHeight="1">
      <c r="B181" s="208"/>
      <c r="E181" s="208"/>
      <c r="G181" s="209"/>
    </row>
    <row r="182" ht="14.25" customHeight="1">
      <c r="B182" s="208"/>
      <c r="E182" s="208"/>
      <c r="G182" s="209"/>
    </row>
    <row r="183" ht="14.25" customHeight="1">
      <c r="B183" s="208"/>
      <c r="E183" s="208"/>
      <c r="G183" s="209"/>
    </row>
    <row r="184" ht="14.25" customHeight="1">
      <c r="B184" s="208"/>
      <c r="E184" s="208"/>
      <c r="G184" s="209"/>
    </row>
    <row r="185" ht="14.25" customHeight="1">
      <c r="B185" s="208"/>
      <c r="E185" s="208"/>
      <c r="G185" s="209"/>
    </row>
    <row r="186" ht="14.25" customHeight="1">
      <c r="B186" s="208"/>
      <c r="E186" s="208"/>
      <c r="G186" s="209"/>
    </row>
    <row r="187" ht="14.25" customHeight="1">
      <c r="B187" s="208"/>
      <c r="E187" s="208"/>
      <c r="G187" s="209"/>
    </row>
    <row r="188" ht="14.25" customHeight="1">
      <c r="B188" s="208"/>
      <c r="E188" s="208"/>
      <c r="G188" s="209"/>
    </row>
    <row r="189" ht="14.25" customHeight="1">
      <c r="B189" s="208"/>
      <c r="E189" s="208"/>
      <c r="G189" s="209"/>
    </row>
    <row r="190" ht="14.25" customHeight="1">
      <c r="B190" s="208"/>
      <c r="E190" s="208"/>
      <c r="G190" s="209"/>
    </row>
    <row r="191" ht="14.25" customHeight="1">
      <c r="B191" s="208"/>
      <c r="E191" s="208"/>
      <c r="G191" s="209"/>
    </row>
    <row r="192" ht="14.25" customHeight="1">
      <c r="B192" s="208"/>
      <c r="E192" s="208"/>
      <c r="G192" s="209"/>
    </row>
    <row r="193" ht="14.25" customHeight="1">
      <c r="B193" s="208"/>
      <c r="E193" s="208"/>
      <c r="G193" s="209"/>
    </row>
    <row r="194" ht="14.25" customHeight="1">
      <c r="B194" s="208"/>
      <c r="E194" s="208"/>
      <c r="G194" s="209"/>
    </row>
    <row r="195" ht="14.25" customHeight="1">
      <c r="B195" s="208"/>
      <c r="E195" s="208"/>
      <c r="G195" s="209"/>
    </row>
    <row r="196" ht="14.25" customHeight="1">
      <c r="B196" s="208"/>
      <c r="E196" s="208"/>
      <c r="G196" s="209"/>
    </row>
    <row r="197" ht="14.25" customHeight="1">
      <c r="B197" s="208"/>
      <c r="E197" s="208"/>
      <c r="G197" s="209"/>
    </row>
    <row r="198" ht="14.25" customHeight="1">
      <c r="B198" s="208"/>
      <c r="E198" s="208"/>
      <c r="G198" s="209"/>
    </row>
    <row r="199" ht="14.25" customHeight="1">
      <c r="B199" s="208"/>
      <c r="E199" s="208"/>
      <c r="G199" s="209"/>
    </row>
    <row r="200" ht="14.25" customHeight="1">
      <c r="B200" s="208"/>
      <c r="E200" s="208"/>
      <c r="G200" s="209"/>
    </row>
    <row r="201" ht="14.25" customHeight="1">
      <c r="B201" s="208"/>
      <c r="E201" s="208"/>
      <c r="G201" s="209"/>
    </row>
    <row r="202" ht="14.25" customHeight="1">
      <c r="B202" s="208"/>
      <c r="E202" s="208"/>
      <c r="G202" s="209"/>
    </row>
    <row r="203" ht="14.25" customHeight="1">
      <c r="B203" s="208"/>
      <c r="E203" s="208"/>
      <c r="G203" s="209"/>
    </row>
    <row r="204" ht="14.25" customHeight="1">
      <c r="B204" s="208"/>
      <c r="E204" s="208"/>
      <c r="G204" s="209"/>
    </row>
    <row r="205" ht="14.25" customHeight="1">
      <c r="B205" s="208"/>
      <c r="E205" s="208"/>
      <c r="G205" s="209"/>
    </row>
    <row r="206" ht="14.25" customHeight="1">
      <c r="B206" s="208"/>
      <c r="E206" s="208"/>
      <c r="G206" s="209"/>
    </row>
    <row r="207" ht="14.25" customHeight="1">
      <c r="B207" s="208"/>
      <c r="E207" s="208"/>
      <c r="G207" s="209"/>
    </row>
    <row r="208" ht="14.25" customHeight="1">
      <c r="B208" s="208"/>
      <c r="E208" s="208"/>
      <c r="G208" s="209"/>
    </row>
    <row r="209" ht="14.25" customHeight="1">
      <c r="B209" s="208"/>
      <c r="E209" s="208"/>
      <c r="G209" s="209"/>
    </row>
    <row r="210" ht="14.25" customHeight="1">
      <c r="B210" s="208"/>
      <c r="E210" s="208"/>
      <c r="G210" s="209"/>
    </row>
    <row r="211" ht="14.25" customHeight="1">
      <c r="B211" s="208"/>
      <c r="E211" s="208"/>
      <c r="G211" s="209"/>
    </row>
    <row r="212" ht="14.25" customHeight="1">
      <c r="B212" s="208"/>
      <c r="E212" s="208"/>
      <c r="G212" s="209"/>
    </row>
    <row r="213" ht="14.25" customHeight="1">
      <c r="B213" s="208"/>
      <c r="E213" s="208"/>
      <c r="G213" s="209"/>
    </row>
    <row r="214" ht="14.25" customHeight="1">
      <c r="B214" s="208"/>
      <c r="E214" s="208"/>
      <c r="G214" s="209"/>
    </row>
    <row r="215" ht="14.25" customHeight="1">
      <c r="B215" s="208"/>
      <c r="E215" s="208"/>
      <c r="G215" s="209"/>
    </row>
    <row r="216" ht="14.25" customHeight="1">
      <c r="B216" s="208"/>
      <c r="E216" s="208"/>
      <c r="G216" s="209"/>
    </row>
    <row r="217" ht="14.25" customHeight="1">
      <c r="B217" s="208"/>
      <c r="E217" s="208"/>
      <c r="G217" s="209"/>
    </row>
    <row r="218" ht="14.25" customHeight="1">
      <c r="B218" s="208"/>
      <c r="E218" s="208"/>
      <c r="G218" s="209"/>
    </row>
    <row r="219" ht="14.25" customHeight="1">
      <c r="B219" s="208"/>
      <c r="E219" s="208"/>
      <c r="G219" s="209"/>
    </row>
    <row r="220" ht="14.25" customHeight="1">
      <c r="B220" s="208"/>
      <c r="E220" s="208"/>
      <c r="G220" s="209"/>
    </row>
    <row r="221" ht="14.25" customHeight="1">
      <c r="B221" s="208"/>
      <c r="E221" s="208"/>
      <c r="G221" s="209"/>
    </row>
    <row r="222" ht="14.25" customHeight="1">
      <c r="B222" s="208"/>
      <c r="E222" s="208"/>
      <c r="G222" s="209"/>
    </row>
    <row r="223" ht="14.25" customHeight="1">
      <c r="B223" s="208"/>
      <c r="E223" s="208"/>
      <c r="G223" s="209"/>
    </row>
    <row r="224" ht="14.25" customHeight="1">
      <c r="B224" s="208"/>
      <c r="E224" s="208"/>
      <c r="G224" s="209"/>
    </row>
    <row r="225" ht="14.25" customHeight="1">
      <c r="B225" s="208"/>
      <c r="E225" s="208"/>
      <c r="G225" s="209"/>
    </row>
    <row r="226" ht="14.25" customHeight="1">
      <c r="B226" s="208"/>
      <c r="E226" s="208"/>
      <c r="G226" s="209"/>
    </row>
    <row r="227" ht="14.25" customHeight="1">
      <c r="B227" s="208"/>
      <c r="E227" s="208"/>
      <c r="G227" s="209"/>
    </row>
    <row r="228" ht="14.25" customHeight="1">
      <c r="B228" s="208"/>
      <c r="E228" s="208"/>
      <c r="G228" s="209"/>
    </row>
    <row r="229" ht="14.25" customHeight="1">
      <c r="B229" s="208"/>
      <c r="E229" s="208"/>
      <c r="G229" s="209"/>
    </row>
    <row r="230" ht="14.25" customHeight="1">
      <c r="B230" s="208"/>
      <c r="E230" s="208"/>
      <c r="G230" s="209"/>
    </row>
    <row r="231" ht="14.25" customHeight="1">
      <c r="B231" s="208"/>
      <c r="E231" s="208"/>
      <c r="G231" s="209"/>
    </row>
    <row r="232" ht="14.25" customHeight="1">
      <c r="B232" s="208"/>
      <c r="E232" s="208"/>
      <c r="G232" s="209"/>
    </row>
    <row r="233" ht="14.25" customHeight="1">
      <c r="B233" s="208"/>
      <c r="E233" s="208"/>
      <c r="G233" s="209"/>
    </row>
    <row r="234" ht="14.25" customHeight="1">
      <c r="B234" s="208"/>
      <c r="E234" s="208"/>
      <c r="G234" s="209"/>
    </row>
    <row r="235" ht="14.25" customHeight="1">
      <c r="B235" s="208"/>
      <c r="E235" s="208"/>
      <c r="G235" s="209"/>
    </row>
    <row r="236" ht="14.25" customHeight="1">
      <c r="B236" s="208"/>
      <c r="E236" s="208"/>
      <c r="G236" s="209"/>
    </row>
    <row r="237" ht="14.25" customHeight="1">
      <c r="B237" s="208"/>
      <c r="E237" s="208"/>
      <c r="G237" s="209"/>
    </row>
    <row r="238" ht="14.25" customHeight="1">
      <c r="B238" s="208"/>
      <c r="E238" s="208"/>
      <c r="G238" s="209"/>
    </row>
    <row r="239" ht="14.25" customHeight="1">
      <c r="B239" s="208"/>
      <c r="E239" s="208"/>
      <c r="G239" s="209"/>
    </row>
    <row r="240" ht="14.25" customHeight="1">
      <c r="B240" s="208"/>
      <c r="E240" s="208"/>
      <c r="G240" s="209"/>
    </row>
    <row r="241" ht="14.25" customHeight="1">
      <c r="B241" s="208"/>
      <c r="E241" s="208"/>
      <c r="G241" s="209"/>
    </row>
    <row r="242" ht="14.25" customHeight="1">
      <c r="B242" s="208"/>
      <c r="E242" s="208"/>
      <c r="G242" s="209"/>
    </row>
    <row r="243" ht="14.25" customHeight="1">
      <c r="B243" s="208"/>
      <c r="E243" s="208"/>
      <c r="G243" s="209"/>
    </row>
    <row r="244" ht="14.25" customHeight="1">
      <c r="B244" s="208"/>
      <c r="E244" s="208"/>
      <c r="G244" s="209"/>
    </row>
    <row r="245" ht="14.25" customHeight="1">
      <c r="B245" s="208"/>
      <c r="E245" s="208"/>
      <c r="G245" s="209"/>
    </row>
    <row r="246" ht="14.25" customHeight="1">
      <c r="B246" s="208"/>
      <c r="E246" s="208"/>
      <c r="G246" s="209"/>
    </row>
    <row r="247" ht="14.25" customHeight="1">
      <c r="B247" s="208"/>
      <c r="E247" s="208"/>
      <c r="G247" s="209"/>
    </row>
    <row r="248" ht="14.25" customHeight="1">
      <c r="B248" s="208"/>
      <c r="E248" s="208"/>
      <c r="G248" s="209"/>
    </row>
    <row r="249" ht="14.25" customHeight="1">
      <c r="B249" s="208"/>
      <c r="E249" s="208"/>
      <c r="G249" s="209"/>
    </row>
    <row r="250" ht="14.25" customHeight="1">
      <c r="B250" s="208"/>
      <c r="E250" s="208"/>
      <c r="G250" s="209"/>
    </row>
    <row r="251" ht="14.25" customHeight="1">
      <c r="B251" s="208"/>
      <c r="E251" s="208"/>
      <c r="G251" s="209"/>
    </row>
    <row r="252" ht="14.25" customHeight="1">
      <c r="B252" s="208"/>
      <c r="E252" s="208"/>
      <c r="G252" s="209"/>
    </row>
    <row r="253" ht="14.25" customHeight="1">
      <c r="B253" s="208"/>
      <c r="E253" s="208"/>
      <c r="G253" s="209"/>
    </row>
    <row r="254" ht="14.25" customHeight="1">
      <c r="B254" s="208"/>
      <c r="E254" s="208"/>
      <c r="G254" s="209"/>
    </row>
    <row r="255" ht="14.25" customHeight="1">
      <c r="B255" s="208"/>
      <c r="E255" s="208"/>
      <c r="G255" s="209"/>
    </row>
    <row r="256" ht="14.25" customHeight="1">
      <c r="B256" s="208"/>
      <c r="E256" s="208"/>
      <c r="G256" s="209"/>
    </row>
    <row r="257" ht="14.25" customHeight="1">
      <c r="B257" s="208"/>
      <c r="E257" s="208"/>
      <c r="G257" s="209"/>
    </row>
    <row r="258" ht="14.25" customHeight="1">
      <c r="B258" s="208"/>
      <c r="E258" s="208"/>
      <c r="G258" s="209"/>
    </row>
    <row r="259" ht="14.25" customHeight="1">
      <c r="B259" s="208"/>
      <c r="E259" s="208"/>
      <c r="G259" s="209"/>
    </row>
    <row r="260" ht="14.25" customHeight="1">
      <c r="B260" s="208"/>
      <c r="E260" s="208"/>
      <c r="G260" s="209"/>
    </row>
    <row r="261" ht="14.25" customHeight="1">
      <c r="B261" s="208"/>
      <c r="E261" s="208"/>
      <c r="G261" s="209"/>
    </row>
    <row r="262" ht="14.25" customHeight="1">
      <c r="B262" s="208"/>
      <c r="E262" s="208"/>
      <c r="G262" s="209"/>
    </row>
    <row r="263" ht="14.25" customHeight="1">
      <c r="B263" s="208"/>
      <c r="E263" s="208"/>
      <c r="G263" s="209"/>
    </row>
    <row r="264" ht="14.25" customHeight="1">
      <c r="B264" s="208"/>
      <c r="E264" s="208"/>
      <c r="G264" s="209"/>
    </row>
    <row r="265" ht="14.25" customHeight="1">
      <c r="B265" s="208"/>
      <c r="E265" s="208"/>
      <c r="G265" s="209"/>
    </row>
    <row r="266" ht="14.25" customHeight="1">
      <c r="B266" s="208"/>
      <c r="E266" s="208"/>
      <c r="G266" s="209"/>
    </row>
    <row r="267" ht="14.25" customHeight="1">
      <c r="B267" s="208"/>
      <c r="E267" s="208"/>
      <c r="G267" s="209"/>
    </row>
    <row r="268" ht="14.25" customHeight="1">
      <c r="B268" s="208"/>
      <c r="E268" s="208"/>
      <c r="G268" s="209"/>
    </row>
    <row r="269" ht="14.25" customHeight="1">
      <c r="B269" s="208"/>
      <c r="E269" s="208"/>
      <c r="G269" s="209"/>
    </row>
    <row r="270" ht="14.25" customHeight="1">
      <c r="B270" s="208"/>
      <c r="E270" s="208"/>
      <c r="G270" s="209"/>
    </row>
    <row r="271" ht="14.25" customHeight="1">
      <c r="B271" s="208"/>
      <c r="E271" s="208"/>
      <c r="G271" s="209"/>
    </row>
    <row r="272" ht="14.25" customHeight="1">
      <c r="B272" s="208"/>
      <c r="E272" s="208"/>
      <c r="G272" s="209"/>
    </row>
    <row r="273" ht="14.25" customHeight="1">
      <c r="B273" s="208"/>
      <c r="E273" s="208"/>
      <c r="G273" s="209"/>
    </row>
    <row r="274" ht="14.25" customHeight="1">
      <c r="B274" s="208"/>
      <c r="E274" s="208"/>
      <c r="G274" s="209"/>
    </row>
    <row r="275" ht="14.25" customHeight="1">
      <c r="B275" s="208"/>
      <c r="E275" s="208"/>
      <c r="G275" s="209"/>
    </row>
    <row r="276" ht="14.25" customHeight="1">
      <c r="B276" s="208"/>
      <c r="E276" s="208"/>
      <c r="G276" s="209"/>
    </row>
    <row r="277" ht="14.25" customHeight="1">
      <c r="B277" s="208"/>
      <c r="E277" s="208"/>
      <c r="G277" s="209"/>
    </row>
    <row r="278" ht="14.25" customHeight="1">
      <c r="B278" s="208"/>
      <c r="E278" s="208"/>
      <c r="G278" s="209"/>
    </row>
    <row r="279" ht="14.25" customHeight="1">
      <c r="B279" s="208"/>
      <c r="E279" s="208"/>
      <c r="G279" s="209"/>
    </row>
    <row r="280" ht="14.25" customHeight="1">
      <c r="B280" s="208"/>
      <c r="E280" s="208"/>
      <c r="G280" s="209"/>
    </row>
    <row r="281" ht="14.25" customHeight="1">
      <c r="B281" s="208"/>
      <c r="E281" s="208"/>
      <c r="G281" s="209"/>
    </row>
    <row r="282" ht="14.25" customHeight="1">
      <c r="B282" s="208"/>
      <c r="E282" s="208"/>
      <c r="G282" s="209"/>
    </row>
    <row r="283" ht="14.25" customHeight="1">
      <c r="B283" s="208"/>
      <c r="E283" s="208"/>
      <c r="G283" s="209"/>
    </row>
    <row r="284" ht="14.25" customHeight="1">
      <c r="B284" s="208"/>
      <c r="E284" s="208"/>
      <c r="G284" s="209"/>
    </row>
    <row r="285" ht="14.25" customHeight="1">
      <c r="B285" s="208"/>
      <c r="E285" s="208"/>
      <c r="G285" s="209"/>
    </row>
    <row r="286" ht="14.25" customHeight="1">
      <c r="B286" s="208"/>
      <c r="E286" s="208"/>
      <c r="G286" s="209"/>
    </row>
    <row r="287" ht="14.25" customHeight="1">
      <c r="B287" s="208"/>
      <c r="E287" s="208"/>
      <c r="G287" s="209"/>
    </row>
    <row r="288" ht="14.25" customHeight="1">
      <c r="B288" s="208"/>
      <c r="E288" s="208"/>
      <c r="G288" s="209"/>
    </row>
    <row r="289" ht="14.25" customHeight="1">
      <c r="B289" s="208"/>
      <c r="E289" s="208"/>
      <c r="G289" s="209"/>
    </row>
    <row r="290" ht="14.25" customHeight="1">
      <c r="B290" s="208"/>
      <c r="E290" s="208"/>
      <c r="G290" s="209"/>
    </row>
    <row r="291" ht="14.25" customHeight="1">
      <c r="B291" s="208"/>
      <c r="E291" s="208"/>
      <c r="G291" s="209"/>
    </row>
    <row r="292" ht="14.25" customHeight="1">
      <c r="B292" s="208"/>
      <c r="E292" s="208"/>
      <c r="G292" s="209"/>
    </row>
    <row r="293" ht="14.25" customHeight="1">
      <c r="B293" s="208"/>
      <c r="E293" s="208"/>
      <c r="G293" s="209"/>
    </row>
    <row r="294" ht="14.25" customHeight="1">
      <c r="B294" s="208"/>
      <c r="E294" s="208"/>
      <c r="G294" s="209"/>
    </row>
    <row r="295" ht="14.25" customHeight="1">
      <c r="B295" s="208"/>
      <c r="E295" s="208"/>
      <c r="G295" s="209"/>
    </row>
    <row r="296" ht="14.25" customHeight="1">
      <c r="B296" s="208"/>
      <c r="E296" s="208"/>
      <c r="G296" s="209"/>
    </row>
    <row r="297" ht="14.25" customHeight="1">
      <c r="B297" s="208"/>
      <c r="E297" s="208"/>
      <c r="G297" s="209"/>
    </row>
    <row r="298" ht="14.25" customHeight="1">
      <c r="B298" s="208"/>
      <c r="E298" s="208"/>
      <c r="G298" s="209"/>
    </row>
    <row r="299" ht="14.25" customHeight="1">
      <c r="B299" s="208"/>
      <c r="E299" s="208"/>
      <c r="G299" s="209"/>
    </row>
    <row r="300" ht="14.25" customHeight="1">
      <c r="B300" s="208"/>
      <c r="E300" s="208"/>
      <c r="G300" s="209"/>
    </row>
    <row r="301" ht="14.25" customHeight="1">
      <c r="B301" s="208"/>
      <c r="E301" s="208"/>
      <c r="G301" s="209"/>
    </row>
    <row r="302" ht="14.25" customHeight="1">
      <c r="B302" s="208"/>
      <c r="E302" s="208"/>
      <c r="G302" s="209"/>
    </row>
    <row r="303" ht="14.25" customHeight="1">
      <c r="B303" s="208"/>
      <c r="E303" s="208"/>
      <c r="G303" s="209"/>
    </row>
    <row r="304" ht="14.25" customHeight="1">
      <c r="B304" s="208"/>
      <c r="E304" s="208"/>
      <c r="G304" s="209"/>
    </row>
    <row r="305" ht="14.25" customHeight="1">
      <c r="B305" s="208"/>
      <c r="E305" s="208"/>
      <c r="G305" s="209"/>
    </row>
    <row r="306" ht="14.25" customHeight="1">
      <c r="B306" s="208"/>
      <c r="E306" s="208"/>
      <c r="G306" s="209"/>
    </row>
    <row r="307" ht="14.25" customHeight="1">
      <c r="B307" s="208"/>
      <c r="E307" s="208"/>
      <c r="G307" s="209"/>
    </row>
    <row r="308" ht="14.25" customHeight="1">
      <c r="B308" s="208"/>
      <c r="E308" s="208"/>
      <c r="G308" s="209"/>
    </row>
    <row r="309" ht="14.25" customHeight="1">
      <c r="B309" s="208"/>
      <c r="E309" s="208"/>
      <c r="G309" s="209"/>
    </row>
    <row r="310" ht="14.25" customHeight="1">
      <c r="B310" s="208"/>
      <c r="E310" s="208"/>
      <c r="G310" s="209"/>
    </row>
    <row r="311" ht="14.25" customHeight="1">
      <c r="B311" s="208"/>
      <c r="E311" s="208"/>
      <c r="G311" s="209"/>
    </row>
    <row r="312" ht="14.25" customHeight="1">
      <c r="B312" s="208"/>
      <c r="E312" s="208"/>
      <c r="G312" s="209"/>
    </row>
    <row r="313" ht="14.25" customHeight="1">
      <c r="B313" s="208"/>
      <c r="E313" s="208"/>
      <c r="G313" s="209"/>
    </row>
    <row r="314" ht="14.25" customHeight="1">
      <c r="B314" s="208"/>
      <c r="E314" s="208"/>
      <c r="G314" s="209"/>
    </row>
    <row r="315" ht="14.25" customHeight="1">
      <c r="B315" s="208"/>
      <c r="E315" s="208"/>
      <c r="G315" s="209"/>
    </row>
    <row r="316" ht="14.25" customHeight="1">
      <c r="B316" s="208"/>
      <c r="E316" s="208"/>
      <c r="G316" s="209"/>
    </row>
    <row r="317" ht="14.25" customHeight="1">
      <c r="B317" s="208"/>
      <c r="E317" s="208"/>
      <c r="G317" s="209"/>
    </row>
    <row r="318" ht="14.25" customHeight="1">
      <c r="B318" s="208"/>
      <c r="E318" s="208"/>
      <c r="G318" s="209"/>
    </row>
    <row r="319" ht="14.25" customHeight="1">
      <c r="B319" s="208"/>
      <c r="E319" s="208"/>
      <c r="G319" s="209"/>
    </row>
    <row r="320" ht="14.25" customHeight="1">
      <c r="B320" s="208"/>
      <c r="E320" s="208"/>
      <c r="G320" s="209"/>
    </row>
    <row r="321" ht="14.25" customHeight="1">
      <c r="B321" s="208"/>
      <c r="E321" s="208"/>
      <c r="G321" s="209"/>
    </row>
    <row r="322" ht="14.25" customHeight="1">
      <c r="B322" s="208"/>
      <c r="E322" s="208"/>
      <c r="G322" s="209"/>
    </row>
    <row r="323" ht="14.25" customHeight="1">
      <c r="B323" s="208"/>
      <c r="E323" s="208"/>
      <c r="G323" s="209"/>
    </row>
    <row r="324" ht="14.25" customHeight="1">
      <c r="B324" s="208"/>
      <c r="E324" s="208"/>
      <c r="G324" s="209"/>
    </row>
    <row r="325" ht="14.25" customHeight="1">
      <c r="B325" s="208"/>
      <c r="E325" s="208"/>
      <c r="G325" s="209"/>
    </row>
    <row r="326" ht="14.25" customHeight="1">
      <c r="B326" s="208"/>
      <c r="E326" s="208"/>
      <c r="G326" s="209"/>
    </row>
    <row r="327" ht="14.25" customHeight="1">
      <c r="B327" s="208"/>
      <c r="E327" s="208"/>
      <c r="G327" s="209"/>
    </row>
    <row r="328" ht="14.25" customHeight="1">
      <c r="B328" s="208"/>
      <c r="E328" s="208"/>
      <c r="G328" s="209"/>
    </row>
    <row r="329" ht="14.25" customHeight="1">
      <c r="B329" s="208"/>
      <c r="E329" s="208"/>
      <c r="G329" s="209"/>
    </row>
    <row r="330" ht="14.25" customHeight="1">
      <c r="B330" s="208"/>
      <c r="E330" s="208"/>
      <c r="G330" s="209"/>
    </row>
    <row r="331" ht="14.25" customHeight="1">
      <c r="B331" s="208"/>
      <c r="E331" s="208"/>
      <c r="G331" s="209"/>
    </row>
    <row r="332" ht="14.25" customHeight="1">
      <c r="B332" s="208"/>
      <c r="E332" s="208"/>
      <c r="G332" s="209"/>
    </row>
    <row r="333" ht="14.25" customHeight="1">
      <c r="B333" s="208"/>
      <c r="E333" s="208"/>
      <c r="G333" s="209"/>
    </row>
    <row r="334" ht="14.25" customHeight="1">
      <c r="B334" s="208"/>
      <c r="E334" s="208"/>
      <c r="G334" s="209"/>
    </row>
    <row r="335" ht="14.25" customHeight="1">
      <c r="B335" s="208"/>
      <c r="E335" s="208"/>
      <c r="G335" s="209"/>
    </row>
    <row r="336" ht="14.25" customHeight="1">
      <c r="B336" s="208"/>
      <c r="E336" s="208"/>
      <c r="G336" s="209"/>
    </row>
    <row r="337" ht="14.25" customHeight="1">
      <c r="B337" s="208"/>
      <c r="E337" s="208"/>
      <c r="G337" s="209"/>
    </row>
    <row r="338" ht="14.25" customHeight="1">
      <c r="B338" s="208"/>
      <c r="E338" s="208"/>
      <c r="G338" s="209"/>
    </row>
    <row r="339" ht="14.25" customHeight="1">
      <c r="B339" s="208"/>
      <c r="E339" s="208"/>
      <c r="G339" s="209"/>
    </row>
    <row r="340" ht="14.25" customHeight="1">
      <c r="B340" s="208"/>
      <c r="E340" s="208"/>
      <c r="G340" s="209"/>
    </row>
    <row r="341" ht="14.25" customHeight="1">
      <c r="B341" s="208"/>
      <c r="E341" s="208"/>
      <c r="G341" s="209"/>
    </row>
    <row r="342" ht="14.25" customHeight="1">
      <c r="B342" s="208"/>
      <c r="E342" s="208"/>
      <c r="G342" s="209"/>
    </row>
    <row r="343" ht="14.25" customHeight="1">
      <c r="B343" s="208"/>
      <c r="E343" s="208"/>
      <c r="G343" s="209"/>
    </row>
    <row r="344" ht="14.25" customHeight="1">
      <c r="B344" s="208"/>
      <c r="E344" s="208"/>
      <c r="G344" s="209"/>
    </row>
    <row r="345" ht="14.25" customHeight="1">
      <c r="B345" s="208"/>
      <c r="E345" s="208"/>
      <c r="G345" s="209"/>
    </row>
    <row r="346" ht="14.25" customHeight="1">
      <c r="B346" s="208"/>
      <c r="E346" s="208"/>
      <c r="G346" s="209"/>
    </row>
    <row r="347" ht="14.25" customHeight="1">
      <c r="B347" s="208"/>
      <c r="E347" s="208"/>
      <c r="G347" s="209"/>
    </row>
    <row r="348" ht="14.25" customHeight="1">
      <c r="B348" s="208"/>
      <c r="E348" s="208"/>
      <c r="G348" s="209"/>
    </row>
    <row r="349" ht="14.25" customHeight="1">
      <c r="B349" s="208"/>
      <c r="E349" s="208"/>
      <c r="G349" s="209"/>
    </row>
    <row r="350" ht="14.25" customHeight="1">
      <c r="B350" s="208"/>
      <c r="E350" s="208"/>
      <c r="G350" s="209"/>
    </row>
    <row r="351" ht="14.25" customHeight="1">
      <c r="B351" s="208"/>
      <c r="E351" s="208"/>
      <c r="G351" s="209"/>
    </row>
    <row r="352" ht="14.25" customHeight="1">
      <c r="B352" s="208"/>
      <c r="E352" s="208"/>
      <c r="G352" s="209"/>
    </row>
    <row r="353" ht="14.25" customHeight="1">
      <c r="B353" s="208"/>
      <c r="E353" s="208"/>
      <c r="G353" s="209"/>
    </row>
    <row r="354" ht="14.25" customHeight="1">
      <c r="B354" s="208"/>
      <c r="E354" s="208"/>
      <c r="G354" s="209"/>
    </row>
    <row r="355" ht="14.25" customHeight="1">
      <c r="B355" s="208"/>
      <c r="E355" s="208"/>
      <c r="G355" s="209"/>
    </row>
    <row r="356" ht="14.25" customHeight="1">
      <c r="B356" s="208"/>
      <c r="E356" s="208"/>
      <c r="G356" s="209"/>
    </row>
    <row r="357" ht="14.25" customHeight="1">
      <c r="B357" s="208"/>
      <c r="E357" s="208"/>
      <c r="G357" s="209"/>
    </row>
    <row r="358" ht="14.25" customHeight="1">
      <c r="B358" s="208"/>
      <c r="E358" s="208"/>
      <c r="G358" s="209"/>
    </row>
    <row r="359" ht="14.25" customHeight="1">
      <c r="B359" s="208"/>
      <c r="E359" s="208"/>
      <c r="G359" s="209"/>
    </row>
    <row r="360" ht="14.25" customHeight="1">
      <c r="B360" s="208"/>
      <c r="E360" s="208"/>
      <c r="G360" s="209"/>
    </row>
    <row r="361" ht="14.25" customHeight="1">
      <c r="B361" s="208"/>
      <c r="E361" s="208"/>
      <c r="G361" s="209"/>
    </row>
    <row r="362" ht="14.25" customHeight="1">
      <c r="B362" s="208"/>
      <c r="E362" s="208"/>
      <c r="G362" s="209"/>
    </row>
    <row r="363" ht="14.25" customHeight="1">
      <c r="B363" s="208"/>
      <c r="E363" s="208"/>
      <c r="G363" s="209"/>
    </row>
    <row r="364" ht="14.25" customHeight="1">
      <c r="B364" s="208"/>
      <c r="E364" s="208"/>
      <c r="G364" s="209"/>
    </row>
    <row r="365" ht="14.25" customHeight="1">
      <c r="B365" s="208"/>
      <c r="E365" s="208"/>
      <c r="G365" s="209"/>
    </row>
    <row r="366" ht="14.25" customHeight="1">
      <c r="B366" s="208"/>
      <c r="E366" s="208"/>
      <c r="G366" s="209"/>
    </row>
    <row r="367" ht="14.25" customHeight="1">
      <c r="B367" s="208"/>
      <c r="E367" s="208"/>
      <c r="G367" s="209"/>
    </row>
    <row r="368" ht="14.25" customHeight="1">
      <c r="B368" s="208"/>
      <c r="E368" s="208"/>
      <c r="G368" s="209"/>
    </row>
    <row r="369" ht="14.25" customHeight="1">
      <c r="B369" s="208"/>
      <c r="E369" s="208"/>
      <c r="G369" s="209"/>
    </row>
    <row r="370" ht="14.25" customHeight="1">
      <c r="B370" s="208"/>
      <c r="E370" s="208"/>
      <c r="G370" s="209"/>
    </row>
    <row r="371" ht="14.25" customHeight="1">
      <c r="B371" s="208"/>
      <c r="E371" s="208"/>
      <c r="G371" s="209"/>
    </row>
    <row r="372" ht="14.25" customHeight="1">
      <c r="B372" s="208"/>
      <c r="E372" s="208"/>
      <c r="G372" s="209"/>
    </row>
    <row r="373" ht="14.25" customHeight="1">
      <c r="B373" s="208"/>
      <c r="E373" s="208"/>
      <c r="G373" s="209"/>
    </row>
    <row r="374" ht="14.25" customHeight="1">
      <c r="B374" s="208"/>
      <c r="E374" s="208"/>
      <c r="G374" s="209"/>
    </row>
    <row r="375" ht="14.25" customHeight="1">
      <c r="B375" s="208"/>
      <c r="E375" s="208"/>
      <c r="G375" s="209"/>
    </row>
    <row r="376" ht="14.25" customHeight="1">
      <c r="B376" s="208"/>
      <c r="E376" s="208"/>
      <c r="G376" s="209"/>
    </row>
    <row r="377" ht="14.25" customHeight="1">
      <c r="B377" s="208"/>
      <c r="E377" s="208"/>
      <c r="G377" s="209"/>
    </row>
    <row r="378" ht="14.25" customHeight="1">
      <c r="B378" s="208"/>
      <c r="E378" s="208"/>
      <c r="G378" s="209"/>
    </row>
    <row r="379" ht="14.25" customHeight="1">
      <c r="B379" s="208"/>
      <c r="E379" s="208"/>
      <c r="G379" s="209"/>
    </row>
    <row r="380" ht="14.25" customHeight="1">
      <c r="B380" s="208"/>
      <c r="E380" s="208"/>
      <c r="G380" s="209"/>
    </row>
    <row r="381" ht="14.25" customHeight="1">
      <c r="B381" s="208"/>
      <c r="E381" s="208"/>
      <c r="G381" s="209"/>
    </row>
    <row r="382" ht="14.25" customHeight="1">
      <c r="B382" s="208"/>
      <c r="E382" s="208"/>
      <c r="G382" s="209"/>
    </row>
    <row r="383" ht="14.25" customHeight="1">
      <c r="B383" s="208"/>
      <c r="E383" s="208"/>
      <c r="G383" s="209"/>
    </row>
    <row r="384" ht="14.25" customHeight="1">
      <c r="B384" s="208"/>
      <c r="E384" s="208"/>
      <c r="G384" s="209"/>
    </row>
    <row r="385" ht="14.25" customHeight="1">
      <c r="B385" s="208"/>
      <c r="E385" s="208"/>
      <c r="G385" s="209"/>
    </row>
    <row r="386" ht="14.25" customHeight="1">
      <c r="B386" s="208"/>
      <c r="E386" s="208"/>
      <c r="G386" s="209"/>
    </row>
    <row r="387" ht="14.25" customHeight="1">
      <c r="B387" s="208"/>
      <c r="E387" s="208"/>
      <c r="G387" s="209"/>
    </row>
    <row r="388" ht="14.25" customHeight="1">
      <c r="B388" s="208"/>
      <c r="E388" s="208"/>
      <c r="G388" s="209"/>
    </row>
    <row r="389" ht="14.25" customHeight="1">
      <c r="B389" s="208"/>
      <c r="E389" s="208"/>
      <c r="G389" s="209"/>
    </row>
    <row r="390" ht="14.25" customHeight="1">
      <c r="B390" s="208"/>
      <c r="E390" s="208"/>
      <c r="G390" s="209"/>
    </row>
    <row r="391" ht="14.25" customHeight="1">
      <c r="B391" s="208"/>
      <c r="E391" s="208"/>
      <c r="G391" s="209"/>
    </row>
    <row r="392" ht="14.25" customHeight="1">
      <c r="B392" s="208"/>
      <c r="E392" s="208"/>
      <c r="G392" s="209"/>
    </row>
    <row r="393" ht="14.25" customHeight="1">
      <c r="B393" s="208"/>
      <c r="E393" s="208"/>
      <c r="G393" s="209"/>
    </row>
    <row r="394" ht="14.25" customHeight="1">
      <c r="B394" s="208"/>
      <c r="E394" s="208"/>
      <c r="G394" s="209"/>
    </row>
    <row r="395" ht="14.25" customHeight="1">
      <c r="B395" s="208"/>
      <c r="E395" s="208"/>
      <c r="G395" s="209"/>
    </row>
    <row r="396" ht="14.25" customHeight="1">
      <c r="B396" s="208"/>
      <c r="E396" s="208"/>
      <c r="G396" s="209"/>
    </row>
    <row r="397" ht="14.25" customHeight="1">
      <c r="B397" s="208"/>
      <c r="E397" s="208"/>
      <c r="G397" s="209"/>
    </row>
    <row r="398" ht="14.25" customHeight="1">
      <c r="B398" s="208"/>
      <c r="E398" s="208"/>
      <c r="G398" s="209"/>
    </row>
    <row r="399" ht="14.25" customHeight="1">
      <c r="B399" s="208"/>
      <c r="E399" s="208"/>
      <c r="G399" s="209"/>
    </row>
    <row r="400" ht="14.25" customHeight="1">
      <c r="B400" s="208"/>
      <c r="E400" s="208"/>
      <c r="G400" s="209"/>
    </row>
    <row r="401" ht="14.25" customHeight="1">
      <c r="B401" s="208"/>
      <c r="E401" s="208"/>
      <c r="G401" s="209"/>
    </row>
    <row r="402" ht="14.25" customHeight="1">
      <c r="B402" s="208"/>
      <c r="E402" s="208"/>
      <c r="G402" s="209"/>
    </row>
    <row r="403" ht="14.25" customHeight="1">
      <c r="B403" s="208"/>
      <c r="E403" s="208"/>
      <c r="G403" s="209"/>
    </row>
    <row r="404" ht="14.25" customHeight="1">
      <c r="B404" s="208"/>
      <c r="E404" s="208"/>
      <c r="G404" s="209"/>
    </row>
    <row r="405" ht="14.25" customHeight="1">
      <c r="B405" s="208"/>
      <c r="E405" s="208"/>
      <c r="G405" s="209"/>
    </row>
    <row r="406" ht="14.25" customHeight="1">
      <c r="B406" s="208"/>
      <c r="E406" s="208"/>
      <c r="G406" s="209"/>
    </row>
    <row r="407" ht="14.25" customHeight="1">
      <c r="B407" s="208"/>
      <c r="E407" s="208"/>
      <c r="G407" s="209"/>
    </row>
    <row r="408" ht="14.25" customHeight="1">
      <c r="B408" s="208"/>
      <c r="E408" s="208"/>
      <c r="G408" s="209"/>
    </row>
    <row r="409" ht="14.25" customHeight="1">
      <c r="B409" s="208"/>
      <c r="E409" s="208"/>
      <c r="G409" s="209"/>
    </row>
    <row r="410" ht="14.25" customHeight="1">
      <c r="B410" s="208"/>
      <c r="E410" s="208"/>
      <c r="G410" s="209"/>
    </row>
    <row r="411" ht="14.25" customHeight="1">
      <c r="B411" s="208"/>
      <c r="E411" s="208"/>
      <c r="G411" s="209"/>
    </row>
    <row r="412" ht="14.25" customHeight="1">
      <c r="B412" s="208"/>
      <c r="E412" s="208"/>
      <c r="G412" s="209"/>
    </row>
    <row r="413" ht="14.25" customHeight="1">
      <c r="B413" s="208"/>
      <c r="E413" s="208"/>
      <c r="G413" s="209"/>
    </row>
    <row r="414" ht="14.25" customHeight="1">
      <c r="B414" s="208"/>
      <c r="E414" s="208"/>
      <c r="G414" s="209"/>
    </row>
    <row r="415" ht="14.25" customHeight="1">
      <c r="B415" s="208"/>
      <c r="E415" s="208"/>
      <c r="G415" s="209"/>
    </row>
    <row r="416" ht="14.25" customHeight="1">
      <c r="B416" s="208"/>
      <c r="E416" s="208"/>
      <c r="G416" s="209"/>
    </row>
    <row r="417" ht="14.25" customHeight="1">
      <c r="B417" s="208"/>
      <c r="E417" s="208"/>
      <c r="G417" s="209"/>
    </row>
    <row r="418" ht="14.25" customHeight="1">
      <c r="B418" s="208"/>
      <c r="E418" s="208"/>
      <c r="G418" s="209"/>
    </row>
    <row r="419" ht="14.25" customHeight="1">
      <c r="B419" s="208"/>
      <c r="E419" s="208"/>
      <c r="G419" s="209"/>
    </row>
    <row r="420" ht="14.25" customHeight="1">
      <c r="B420" s="208"/>
      <c r="E420" s="208"/>
      <c r="G420" s="209"/>
    </row>
    <row r="421" ht="14.25" customHeight="1">
      <c r="B421" s="208"/>
      <c r="E421" s="208"/>
      <c r="G421" s="209"/>
    </row>
    <row r="422" ht="14.25" customHeight="1">
      <c r="B422" s="208"/>
      <c r="E422" s="208"/>
      <c r="G422" s="209"/>
    </row>
    <row r="423" ht="14.25" customHeight="1">
      <c r="B423" s="208"/>
      <c r="E423" s="208"/>
      <c r="G423" s="209"/>
    </row>
    <row r="424" ht="14.25" customHeight="1">
      <c r="B424" s="208"/>
      <c r="E424" s="208"/>
      <c r="G424" s="209"/>
    </row>
    <row r="425" ht="14.25" customHeight="1">
      <c r="B425" s="208"/>
      <c r="E425" s="208"/>
      <c r="G425" s="209"/>
    </row>
    <row r="426" ht="14.25" customHeight="1">
      <c r="B426" s="208"/>
      <c r="E426" s="208"/>
      <c r="G426" s="209"/>
    </row>
    <row r="427" ht="14.25" customHeight="1">
      <c r="B427" s="208"/>
      <c r="E427" s="208"/>
      <c r="G427" s="209"/>
    </row>
    <row r="428" ht="14.25" customHeight="1">
      <c r="B428" s="208"/>
      <c r="E428" s="208"/>
      <c r="G428" s="209"/>
    </row>
    <row r="429" ht="14.25" customHeight="1">
      <c r="B429" s="208"/>
      <c r="E429" s="208"/>
      <c r="G429" s="209"/>
    </row>
    <row r="430" ht="14.25" customHeight="1">
      <c r="B430" s="208"/>
      <c r="E430" s="208"/>
      <c r="G430" s="209"/>
    </row>
    <row r="431" ht="14.25" customHeight="1">
      <c r="B431" s="208"/>
      <c r="E431" s="208"/>
      <c r="G431" s="209"/>
    </row>
    <row r="432" ht="14.25" customHeight="1">
      <c r="B432" s="208"/>
      <c r="E432" s="208"/>
      <c r="G432" s="209"/>
    </row>
    <row r="433" ht="14.25" customHeight="1">
      <c r="B433" s="208"/>
      <c r="E433" s="208"/>
      <c r="G433" s="209"/>
    </row>
    <row r="434" ht="14.25" customHeight="1">
      <c r="B434" s="208"/>
      <c r="E434" s="208"/>
      <c r="G434" s="209"/>
    </row>
    <row r="435" ht="14.25" customHeight="1">
      <c r="B435" s="208"/>
      <c r="E435" s="208"/>
      <c r="G435" s="209"/>
    </row>
    <row r="436" ht="14.25" customHeight="1">
      <c r="B436" s="208"/>
      <c r="E436" s="208"/>
      <c r="G436" s="209"/>
    </row>
    <row r="437" ht="14.25" customHeight="1">
      <c r="B437" s="208"/>
      <c r="E437" s="208"/>
      <c r="G437" s="209"/>
    </row>
    <row r="438" ht="14.25" customHeight="1">
      <c r="B438" s="208"/>
      <c r="E438" s="208"/>
      <c r="G438" s="209"/>
    </row>
    <row r="439" ht="14.25" customHeight="1">
      <c r="B439" s="208"/>
      <c r="E439" s="208"/>
      <c r="G439" s="209"/>
    </row>
    <row r="440" ht="14.25" customHeight="1">
      <c r="B440" s="208"/>
      <c r="E440" s="208"/>
      <c r="G440" s="209"/>
    </row>
    <row r="441" ht="14.25" customHeight="1">
      <c r="B441" s="208"/>
      <c r="E441" s="208"/>
      <c r="G441" s="209"/>
    </row>
    <row r="442" ht="14.25" customHeight="1">
      <c r="B442" s="208"/>
      <c r="E442" s="208"/>
      <c r="G442" s="209"/>
    </row>
    <row r="443" ht="14.25" customHeight="1">
      <c r="B443" s="208"/>
      <c r="E443" s="208"/>
      <c r="G443" s="209"/>
    </row>
    <row r="444" ht="14.25" customHeight="1">
      <c r="B444" s="208"/>
      <c r="E444" s="208"/>
      <c r="G444" s="209"/>
    </row>
    <row r="445" ht="14.25" customHeight="1">
      <c r="B445" s="208"/>
      <c r="E445" s="208"/>
      <c r="G445" s="209"/>
    </row>
    <row r="446" ht="14.25" customHeight="1">
      <c r="B446" s="208"/>
      <c r="E446" s="208"/>
      <c r="G446" s="209"/>
    </row>
    <row r="447" ht="14.25" customHeight="1">
      <c r="B447" s="208"/>
      <c r="E447" s="208"/>
      <c r="G447" s="209"/>
    </row>
    <row r="448" ht="14.25" customHeight="1">
      <c r="B448" s="208"/>
      <c r="E448" s="208"/>
      <c r="G448" s="209"/>
    </row>
    <row r="449" ht="14.25" customHeight="1">
      <c r="B449" s="208"/>
      <c r="E449" s="208"/>
      <c r="G449" s="209"/>
    </row>
    <row r="450" ht="14.25" customHeight="1">
      <c r="B450" s="208"/>
      <c r="E450" s="208"/>
      <c r="G450" s="209"/>
    </row>
    <row r="451" ht="14.25" customHeight="1">
      <c r="B451" s="208"/>
      <c r="E451" s="208"/>
      <c r="G451" s="209"/>
    </row>
    <row r="452" ht="14.25" customHeight="1">
      <c r="B452" s="208"/>
      <c r="E452" s="208"/>
      <c r="G452" s="209"/>
    </row>
    <row r="453" ht="14.25" customHeight="1">
      <c r="B453" s="208"/>
      <c r="E453" s="208"/>
      <c r="G453" s="209"/>
    </row>
    <row r="454" ht="14.25" customHeight="1">
      <c r="B454" s="208"/>
      <c r="E454" s="208"/>
      <c r="G454" s="209"/>
    </row>
    <row r="455" ht="14.25" customHeight="1">
      <c r="B455" s="208"/>
      <c r="E455" s="208"/>
      <c r="G455" s="209"/>
    </row>
    <row r="456" ht="14.25" customHeight="1">
      <c r="B456" s="208"/>
      <c r="E456" s="208"/>
      <c r="G456" s="209"/>
    </row>
    <row r="457" ht="14.25" customHeight="1">
      <c r="B457" s="208"/>
      <c r="E457" s="208"/>
      <c r="G457" s="209"/>
    </row>
    <row r="458" ht="14.25" customHeight="1">
      <c r="B458" s="208"/>
      <c r="E458" s="208"/>
      <c r="G458" s="209"/>
    </row>
    <row r="459" ht="14.25" customHeight="1">
      <c r="B459" s="208"/>
      <c r="E459" s="208"/>
      <c r="G459" s="209"/>
    </row>
    <row r="460" ht="14.25" customHeight="1">
      <c r="B460" s="208"/>
      <c r="E460" s="208"/>
      <c r="G460" s="209"/>
    </row>
    <row r="461" ht="14.25" customHeight="1">
      <c r="B461" s="208"/>
      <c r="E461" s="208"/>
      <c r="G461" s="209"/>
    </row>
    <row r="462" ht="14.25" customHeight="1">
      <c r="B462" s="208"/>
      <c r="E462" s="208"/>
      <c r="G462" s="209"/>
    </row>
    <row r="463" ht="14.25" customHeight="1">
      <c r="B463" s="208"/>
      <c r="E463" s="208"/>
      <c r="G463" s="209"/>
    </row>
    <row r="464" ht="14.25" customHeight="1">
      <c r="B464" s="208"/>
      <c r="E464" s="208"/>
      <c r="G464" s="209"/>
    </row>
    <row r="465" ht="14.25" customHeight="1">
      <c r="B465" s="208"/>
      <c r="E465" s="208"/>
      <c r="G465" s="209"/>
    </row>
    <row r="466" ht="14.25" customHeight="1">
      <c r="B466" s="208"/>
      <c r="E466" s="208"/>
      <c r="G466" s="209"/>
    </row>
    <row r="467" ht="14.25" customHeight="1">
      <c r="B467" s="208"/>
      <c r="E467" s="208"/>
      <c r="G467" s="209"/>
    </row>
    <row r="468" ht="14.25" customHeight="1">
      <c r="B468" s="208"/>
      <c r="E468" s="208"/>
      <c r="G468" s="209"/>
    </row>
    <row r="469" ht="14.25" customHeight="1">
      <c r="B469" s="208"/>
      <c r="E469" s="208"/>
      <c r="G469" s="209"/>
    </row>
    <row r="470" ht="14.25" customHeight="1">
      <c r="B470" s="208"/>
      <c r="E470" s="208"/>
      <c r="G470" s="209"/>
    </row>
    <row r="471" ht="14.25" customHeight="1">
      <c r="B471" s="208"/>
      <c r="E471" s="208"/>
      <c r="G471" s="209"/>
    </row>
    <row r="472" ht="14.25" customHeight="1">
      <c r="B472" s="208"/>
      <c r="E472" s="208"/>
      <c r="G472" s="209"/>
    </row>
    <row r="473" ht="14.25" customHeight="1">
      <c r="B473" s="208"/>
      <c r="E473" s="208"/>
      <c r="G473" s="209"/>
    </row>
    <row r="474" ht="14.25" customHeight="1">
      <c r="B474" s="208"/>
      <c r="E474" s="208"/>
      <c r="G474" s="209"/>
    </row>
    <row r="475" ht="14.25" customHeight="1">
      <c r="B475" s="208"/>
      <c r="E475" s="208"/>
      <c r="G475" s="209"/>
    </row>
    <row r="476" ht="14.25" customHeight="1">
      <c r="B476" s="208"/>
      <c r="E476" s="208"/>
      <c r="G476" s="209"/>
    </row>
    <row r="477" ht="14.25" customHeight="1">
      <c r="B477" s="208"/>
      <c r="E477" s="208"/>
      <c r="G477" s="209"/>
    </row>
    <row r="478" ht="14.25" customHeight="1">
      <c r="B478" s="208"/>
      <c r="E478" s="208"/>
      <c r="G478" s="209"/>
    </row>
    <row r="479" ht="14.25" customHeight="1">
      <c r="B479" s="208"/>
      <c r="E479" s="208"/>
      <c r="G479" s="209"/>
    </row>
    <row r="480" ht="14.25" customHeight="1">
      <c r="B480" s="208"/>
      <c r="E480" s="208"/>
      <c r="G480" s="209"/>
    </row>
    <row r="481" ht="14.25" customHeight="1">
      <c r="B481" s="208"/>
      <c r="E481" s="208"/>
      <c r="G481" s="209"/>
    </row>
    <row r="482" ht="14.25" customHeight="1">
      <c r="B482" s="208"/>
      <c r="E482" s="208"/>
      <c r="G482" s="209"/>
    </row>
    <row r="483" ht="14.25" customHeight="1">
      <c r="B483" s="208"/>
      <c r="E483" s="208"/>
      <c r="G483" s="209"/>
    </row>
    <row r="484" ht="14.25" customHeight="1">
      <c r="B484" s="208"/>
      <c r="E484" s="208"/>
      <c r="G484" s="209"/>
    </row>
    <row r="485" ht="14.25" customHeight="1">
      <c r="B485" s="208"/>
      <c r="E485" s="208"/>
      <c r="G485" s="209"/>
    </row>
    <row r="486" ht="14.25" customHeight="1">
      <c r="B486" s="208"/>
      <c r="E486" s="208"/>
      <c r="G486" s="209"/>
    </row>
    <row r="487" ht="14.25" customHeight="1">
      <c r="B487" s="208"/>
      <c r="E487" s="208"/>
      <c r="G487" s="209"/>
    </row>
    <row r="488" ht="14.25" customHeight="1">
      <c r="B488" s="208"/>
      <c r="E488" s="208"/>
      <c r="G488" s="209"/>
    </row>
    <row r="489" ht="14.25" customHeight="1">
      <c r="B489" s="208"/>
      <c r="E489" s="208"/>
      <c r="G489" s="209"/>
    </row>
    <row r="490" ht="14.25" customHeight="1">
      <c r="B490" s="208"/>
      <c r="E490" s="208"/>
      <c r="G490" s="209"/>
    </row>
    <row r="491" ht="14.25" customHeight="1">
      <c r="B491" s="208"/>
      <c r="E491" s="208"/>
      <c r="G491" s="209"/>
    </row>
    <row r="492" ht="14.25" customHeight="1">
      <c r="B492" s="208"/>
      <c r="E492" s="208"/>
      <c r="G492" s="209"/>
    </row>
    <row r="493" ht="14.25" customHeight="1">
      <c r="B493" s="208"/>
      <c r="E493" s="208"/>
      <c r="G493" s="209"/>
    </row>
    <row r="494" ht="14.25" customHeight="1">
      <c r="B494" s="208"/>
      <c r="E494" s="208"/>
      <c r="G494" s="209"/>
    </row>
    <row r="495" ht="14.25" customHeight="1">
      <c r="B495" s="208"/>
      <c r="E495" s="208"/>
      <c r="G495" s="209"/>
    </row>
    <row r="496" ht="14.25" customHeight="1">
      <c r="B496" s="208"/>
      <c r="E496" s="208"/>
      <c r="G496" s="209"/>
    </row>
    <row r="497" ht="14.25" customHeight="1">
      <c r="B497" s="208"/>
      <c r="E497" s="208"/>
      <c r="G497" s="209"/>
    </row>
    <row r="498" ht="14.25" customHeight="1">
      <c r="B498" s="208"/>
      <c r="E498" s="208"/>
      <c r="G498" s="209"/>
    </row>
    <row r="499" ht="14.25" customHeight="1">
      <c r="B499" s="208"/>
      <c r="E499" s="208"/>
      <c r="G499" s="209"/>
    </row>
    <row r="500" ht="14.25" customHeight="1">
      <c r="B500" s="208"/>
      <c r="E500" s="208"/>
      <c r="G500" s="209"/>
    </row>
    <row r="501" ht="14.25" customHeight="1">
      <c r="B501" s="208"/>
      <c r="E501" s="208"/>
      <c r="G501" s="209"/>
    </row>
    <row r="502" ht="14.25" customHeight="1">
      <c r="B502" s="208"/>
      <c r="E502" s="208"/>
      <c r="G502" s="209"/>
    </row>
    <row r="503" ht="14.25" customHeight="1">
      <c r="B503" s="208"/>
      <c r="E503" s="208"/>
      <c r="G503" s="209"/>
    </row>
    <row r="504" ht="14.25" customHeight="1">
      <c r="B504" s="208"/>
      <c r="E504" s="208"/>
      <c r="G504" s="209"/>
    </row>
    <row r="505" ht="14.25" customHeight="1">
      <c r="B505" s="208"/>
      <c r="E505" s="208"/>
      <c r="G505" s="209"/>
    </row>
    <row r="506" ht="14.25" customHeight="1">
      <c r="B506" s="208"/>
      <c r="E506" s="208"/>
      <c r="G506" s="209"/>
    </row>
    <row r="507" ht="14.25" customHeight="1">
      <c r="B507" s="208"/>
      <c r="E507" s="208"/>
      <c r="G507" s="209"/>
    </row>
    <row r="508" ht="14.25" customHeight="1">
      <c r="B508" s="208"/>
      <c r="E508" s="208"/>
      <c r="G508" s="209"/>
    </row>
    <row r="509" ht="14.25" customHeight="1">
      <c r="B509" s="208"/>
      <c r="E509" s="208"/>
      <c r="G509" s="209"/>
    </row>
    <row r="510" ht="14.25" customHeight="1">
      <c r="B510" s="208"/>
      <c r="E510" s="208"/>
      <c r="G510" s="209"/>
    </row>
    <row r="511" ht="14.25" customHeight="1">
      <c r="B511" s="208"/>
      <c r="E511" s="208"/>
      <c r="G511" s="209"/>
    </row>
    <row r="512" ht="14.25" customHeight="1">
      <c r="B512" s="208"/>
      <c r="E512" s="208"/>
      <c r="G512" s="209"/>
    </row>
    <row r="513" ht="14.25" customHeight="1">
      <c r="B513" s="208"/>
      <c r="E513" s="208"/>
      <c r="G513" s="209"/>
    </row>
    <row r="514" ht="14.25" customHeight="1">
      <c r="B514" s="208"/>
      <c r="E514" s="208"/>
      <c r="G514" s="209"/>
    </row>
    <row r="515" ht="14.25" customHeight="1">
      <c r="B515" s="208"/>
      <c r="E515" s="208"/>
      <c r="G515" s="209"/>
    </row>
    <row r="516" ht="14.25" customHeight="1">
      <c r="B516" s="208"/>
      <c r="E516" s="208"/>
      <c r="G516" s="209"/>
    </row>
    <row r="517" ht="14.25" customHeight="1">
      <c r="B517" s="208"/>
      <c r="E517" s="208"/>
      <c r="G517" s="209"/>
    </row>
    <row r="518" ht="14.25" customHeight="1">
      <c r="B518" s="208"/>
      <c r="E518" s="208"/>
      <c r="G518" s="209"/>
    </row>
    <row r="519" ht="14.25" customHeight="1">
      <c r="B519" s="208"/>
      <c r="E519" s="208"/>
      <c r="G519" s="209"/>
    </row>
    <row r="520" ht="14.25" customHeight="1">
      <c r="B520" s="208"/>
      <c r="E520" s="208"/>
      <c r="G520" s="209"/>
    </row>
    <row r="521" ht="14.25" customHeight="1">
      <c r="B521" s="208"/>
      <c r="E521" s="208"/>
      <c r="G521" s="209"/>
    </row>
    <row r="522" ht="14.25" customHeight="1">
      <c r="B522" s="208"/>
      <c r="E522" s="208"/>
      <c r="G522" s="209"/>
    </row>
    <row r="523" ht="14.25" customHeight="1">
      <c r="B523" s="208"/>
      <c r="E523" s="208"/>
      <c r="G523" s="209"/>
    </row>
    <row r="524" ht="14.25" customHeight="1">
      <c r="B524" s="208"/>
      <c r="E524" s="208"/>
      <c r="G524" s="209"/>
    </row>
    <row r="525" ht="14.25" customHeight="1">
      <c r="B525" s="208"/>
      <c r="E525" s="208"/>
      <c r="G525" s="209"/>
    </row>
    <row r="526" ht="14.25" customHeight="1">
      <c r="B526" s="208"/>
      <c r="E526" s="208"/>
      <c r="G526" s="209"/>
    </row>
    <row r="527" ht="14.25" customHeight="1">
      <c r="B527" s="208"/>
      <c r="E527" s="208"/>
      <c r="G527" s="209"/>
    </row>
    <row r="528" ht="14.25" customHeight="1">
      <c r="B528" s="208"/>
      <c r="E528" s="208"/>
      <c r="G528" s="209"/>
    </row>
    <row r="529" ht="14.25" customHeight="1">
      <c r="B529" s="208"/>
      <c r="E529" s="208"/>
      <c r="G529" s="209"/>
    </row>
    <row r="530" ht="14.25" customHeight="1">
      <c r="B530" s="208"/>
      <c r="E530" s="208"/>
      <c r="G530" s="209"/>
    </row>
    <row r="531" ht="14.25" customHeight="1">
      <c r="B531" s="208"/>
      <c r="E531" s="208"/>
      <c r="G531" s="209"/>
    </row>
    <row r="532" ht="14.25" customHeight="1">
      <c r="B532" s="208"/>
      <c r="E532" s="208"/>
      <c r="G532" s="209"/>
    </row>
    <row r="533" ht="14.25" customHeight="1">
      <c r="B533" s="208"/>
      <c r="E533" s="208"/>
      <c r="G533" s="209"/>
    </row>
    <row r="534" ht="14.25" customHeight="1">
      <c r="B534" s="208"/>
      <c r="E534" s="208"/>
      <c r="G534" s="209"/>
    </row>
    <row r="535" ht="14.25" customHeight="1">
      <c r="B535" s="208"/>
      <c r="E535" s="208"/>
      <c r="G535" s="209"/>
    </row>
    <row r="536" ht="14.25" customHeight="1">
      <c r="B536" s="208"/>
      <c r="E536" s="208"/>
      <c r="G536" s="209"/>
    </row>
    <row r="537" ht="14.25" customHeight="1">
      <c r="B537" s="208"/>
      <c r="E537" s="208"/>
      <c r="G537" s="209"/>
    </row>
    <row r="538" ht="14.25" customHeight="1">
      <c r="B538" s="208"/>
      <c r="E538" s="208"/>
      <c r="G538" s="209"/>
    </row>
    <row r="539" ht="14.25" customHeight="1">
      <c r="B539" s="208"/>
      <c r="E539" s="208"/>
      <c r="G539" s="209"/>
    </row>
    <row r="540" ht="14.25" customHeight="1">
      <c r="B540" s="208"/>
      <c r="E540" s="208"/>
      <c r="G540" s="209"/>
    </row>
    <row r="541" ht="14.25" customHeight="1">
      <c r="B541" s="208"/>
      <c r="E541" s="208"/>
      <c r="G541" s="209"/>
    </row>
    <row r="542" ht="14.25" customHeight="1">
      <c r="B542" s="208"/>
      <c r="E542" s="208"/>
      <c r="G542" s="209"/>
    </row>
    <row r="543" ht="14.25" customHeight="1">
      <c r="B543" s="208"/>
      <c r="E543" s="208"/>
      <c r="G543" s="209"/>
    </row>
    <row r="544" ht="14.25" customHeight="1">
      <c r="B544" s="208"/>
      <c r="E544" s="208"/>
      <c r="G544" s="209"/>
    </row>
    <row r="545" ht="14.25" customHeight="1">
      <c r="B545" s="208"/>
      <c r="E545" s="208"/>
      <c r="G545" s="209"/>
    </row>
    <row r="546" ht="14.25" customHeight="1">
      <c r="B546" s="208"/>
      <c r="E546" s="208"/>
      <c r="G546" s="209"/>
    </row>
    <row r="547" ht="14.25" customHeight="1">
      <c r="B547" s="208"/>
      <c r="E547" s="208"/>
      <c r="G547" s="209"/>
    </row>
    <row r="548" ht="14.25" customHeight="1">
      <c r="B548" s="208"/>
      <c r="E548" s="208"/>
      <c r="G548" s="209"/>
    </row>
    <row r="549" ht="14.25" customHeight="1">
      <c r="B549" s="208"/>
      <c r="E549" s="208"/>
      <c r="G549" s="209"/>
    </row>
    <row r="550" ht="14.25" customHeight="1">
      <c r="B550" s="208"/>
      <c r="E550" s="208"/>
      <c r="G550" s="209"/>
    </row>
    <row r="551" ht="14.25" customHeight="1">
      <c r="B551" s="208"/>
      <c r="E551" s="208"/>
      <c r="G551" s="209"/>
    </row>
    <row r="552" ht="14.25" customHeight="1">
      <c r="B552" s="208"/>
      <c r="E552" s="208"/>
      <c r="G552" s="209"/>
    </row>
    <row r="553" ht="14.25" customHeight="1">
      <c r="B553" s="208"/>
      <c r="E553" s="208"/>
      <c r="G553" s="209"/>
    </row>
    <row r="554" ht="14.25" customHeight="1">
      <c r="B554" s="208"/>
      <c r="E554" s="208"/>
      <c r="G554" s="209"/>
    </row>
    <row r="555" ht="14.25" customHeight="1">
      <c r="B555" s="208"/>
      <c r="E555" s="208"/>
      <c r="G555" s="209"/>
    </row>
    <row r="556" ht="14.25" customHeight="1">
      <c r="B556" s="208"/>
      <c r="E556" s="208"/>
      <c r="G556" s="209"/>
    </row>
    <row r="557" ht="14.25" customHeight="1">
      <c r="B557" s="208"/>
      <c r="E557" s="208"/>
      <c r="G557" s="209"/>
    </row>
    <row r="558" ht="14.25" customHeight="1">
      <c r="B558" s="208"/>
      <c r="E558" s="208"/>
      <c r="G558" s="209"/>
    </row>
    <row r="559" ht="14.25" customHeight="1">
      <c r="B559" s="208"/>
      <c r="E559" s="208"/>
      <c r="G559" s="209"/>
    </row>
    <row r="560" ht="14.25" customHeight="1">
      <c r="B560" s="208"/>
      <c r="E560" s="208"/>
      <c r="G560" s="209"/>
    </row>
    <row r="561" ht="14.25" customHeight="1">
      <c r="B561" s="208"/>
      <c r="E561" s="208"/>
      <c r="G561" s="209"/>
    </row>
    <row r="562" ht="14.25" customHeight="1">
      <c r="B562" s="208"/>
      <c r="E562" s="208"/>
      <c r="G562" s="209"/>
    </row>
    <row r="563" ht="14.25" customHeight="1">
      <c r="B563" s="208"/>
      <c r="E563" s="208"/>
      <c r="G563" s="209"/>
    </row>
    <row r="564" ht="14.25" customHeight="1">
      <c r="B564" s="208"/>
      <c r="E564" s="208"/>
      <c r="G564" s="209"/>
    </row>
    <row r="565" ht="14.25" customHeight="1">
      <c r="B565" s="208"/>
      <c r="E565" s="208"/>
      <c r="G565" s="209"/>
    </row>
    <row r="566" ht="14.25" customHeight="1">
      <c r="B566" s="208"/>
      <c r="E566" s="208"/>
      <c r="G566" s="209"/>
    </row>
    <row r="567" ht="14.25" customHeight="1">
      <c r="B567" s="208"/>
      <c r="E567" s="208"/>
      <c r="G567" s="209"/>
    </row>
    <row r="568" ht="14.25" customHeight="1">
      <c r="B568" s="208"/>
      <c r="E568" s="208"/>
      <c r="G568" s="209"/>
    </row>
    <row r="569" ht="14.25" customHeight="1">
      <c r="B569" s="208"/>
      <c r="E569" s="208"/>
      <c r="G569" s="209"/>
    </row>
    <row r="570" ht="14.25" customHeight="1">
      <c r="B570" s="208"/>
      <c r="E570" s="208"/>
      <c r="G570" s="209"/>
    </row>
    <row r="571" ht="14.25" customHeight="1">
      <c r="B571" s="208"/>
      <c r="E571" s="208"/>
      <c r="G571" s="209"/>
    </row>
    <row r="572" ht="14.25" customHeight="1">
      <c r="B572" s="208"/>
      <c r="E572" s="208"/>
      <c r="G572" s="209"/>
    </row>
    <row r="573" ht="14.25" customHeight="1">
      <c r="B573" s="208"/>
      <c r="E573" s="208"/>
      <c r="G573" s="209"/>
    </row>
    <row r="574" ht="14.25" customHeight="1">
      <c r="B574" s="208"/>
      <c r="E574" s="208"/>
      <c r="G574" s="209"/>
    </row>
    <row r="575" ht="14.25" customHeight="1">
      <c r="B575" s="208"/>
      <c r="E575" s="208"/>
      <c r="G575" s="209"/>
    </row>
    <row r="576" ht="14.25" customHeight="1">
      <c r="B576" s="208"/>
      <c r="E576" s="208"/>
      <c r="G576" s="209"/>
    </row>
    <row r="577" ht="14.25" customHeight="1">
      <c r="B577" s="208"/>
      <c r="E577" s="208"/>
      <c r="G577" s="209"/>
    </row>
    <row r="578" ht="14.25" customHeight="1">
      <c r="B578" s="208"/>
      <c r="E578" s="208"/>
      <c r="G578" s="209"/>
    </row>
    <row r="579" ht="14.25" customHeight="1">
      <c r="B579" s="208"/>
      <c r="E579" s="208"/>
      <c r="G579" s="209"/>
    </row>
    <row r="580" ht="14.25" customHeight="1">
      <c r="B580" s="208"/>
      <c r="E580" s="208"/>
      <c r="G580" s="209"/>
    </row>
    <row r="581" ht="14.25" customHeight="1">
      <c r="B581" s="208"/>
      <c r="E581" s="208"/>
      <c r="G581" s="209"/>
    </row>
    <row r="582" ht="14.25" customHeight="1">
      <c r="B582" s="208"/>
      <c r="E582" s="208"/>
      <c r="G582" s="209"/>
    </row>
    <row r="583" ht="14.25" customHeight="1">
      <c r="B583" s="208"/>
      <c r="E583" s="208"/>
      <c r="G583" s="209"/>
    </row>
    <row r="584" ht="14.25" customHeight="1">
      <c r="B584" s="208"/>
      <c r="E584" s="208"/>
      <c r="G584" s="209"/>
    </row>
    <row r="585" ht="14.25" customHeight="1">
      <c r="B585" s="208"/>
      <c r="E585" s="208"/>
      <c r="G585" s="209"/>
    </row>
    <row r="586" ht="14.25" customHeight="1">
      <c r="B586" s="208"/>
      <c r="E586" s="208"/>
      <c r="G586" s="209"/>
    </row>
    <row r="587" ht="14.25" customHeight="1">
      <c r="B587" s="208"/>
      <c r="E587" s="208"/>
      <c r="G587" s="209"/>
    </row>
    <row r="588" ht="14.25" customHeight="1">
      <c r="B588" s="208"/>
      <c r="E588" s="208"/>
      <c r="G588" s="209"/>
    </row>
    <row r="589" ht="14.25" customHeight="1">
      <c r="B589" s="208"/>
      <c r="E589" s="208"/>
      <c r="G589" s="209"/>
    </row>
    <row r="590" ht="14.25" customHeight="1">
      <c r="B590" s="208"/>
      <c r="E590" s="208"/>
      <c r="G590" s="209"/>
    </row>
    <row r="591" ht="14.25" customHeight="1">
      <c r="B591" s="208"/>
      <c r="E591" s="208"/>
      <c r="G591" s="209"/>
    </row>
    <row r="592" ht="14.25" customHeight="1">
      <c r="B592" s="208"/>
      <c r="E592" s="208"/>
      <c r="G592" s="209"/>
    </row>
    <row r="593" ht="14.25" customHeight="1">
      <c r="B593" s="208"/>
      <c r="E593" s="208"/>
      <c r="G593" s="209"/>
    </row>
    <row r="594" ht="14.25" customHeight="1">
      <c r="B594" s="208"/>
      <c r="E594" s="208"/>
      <c r="G594" s="209"/>
    </row>
    <row r="595" ht="14.25" customHeight="1">
      <c r="B595" s="208"/>
      <c r="E595" s="208"/>
      <c r="G595" s="209"/>
    </row>
    <row r="596" ht="14.25" customHeight="1">
      <c r="B596" s="208"/>
      <c r="E596" s="208"/>
      <c r="G596" s="209"/>
    </row>
    <row r="597" ht="14.25" customHeight="1">
      <c r="B597" s="208"/>
      <c r="E597" s="208"/>
      <c r="G597" s="209"/>
    </row>
    <row r="598" ht="14.25" customHeight="1">
      <c r="B598" s="208"/>
      <c r="E598" s="208"/>
      <c r="G598" s="209"/>
    </row>
    <row r="599" ht="14.25" customHeight="1">
      <c r="B599" s="208"/>
      <c r="E599" s="208"/>
      <c r="G599" s="209"/>
    </row>
    <row r="600" ht="14.25" customHeight="1">
      <c r="B600" s="208"/>
      <c r="E600" s="208"/>
      <c r="G600" s="209"/>
    </row>
    <row r="601" ht="14.25" customHeight="1">
      <c r="B601" s="208"/>
      <c r="E601" s="208"/>
      <c r="G601" s="209"/>
    </row>
    <row r="602" ht="14.25" customHeight="1">
      <c r="B602" s="208"/>
      <c r="E602" s="208"/>
      <c r="G602" s="209"/>
    </row>
    <row r="603" ht="14.25" customHeight="1">
      <c r="B603" s="208"/>
      <c r="E603" s="208"/>
      <c r="G603" s="209"/>
    </row>
    <row r="604" ht="14.25" customHeight="1">
      <c r="B604" s="208"/>
      <c r="E604" s="208"/>
      <c r="G604" s="209"/>
    </row>
    <row r="605" ht="14.25" customHeight="1">
      <c r="B605" s="208"/>
      <c r="E605" s="208"/>
      <c r="G605" s="209"/>
    </row>
    <row r="606" ht="14.25" customHeight="1">
      <c r="B606" s="208"/>
      <c r="E606" s="208"/>
      <c r="G606" s="209"/>
    </row>
    <row r="607" ht="14.25" customHeight="1">
      <c r="B607" s="208"/>
      <c r="E607" s="208"/>
      <c r="G607" s="209"/>
    </row>
    <row r="608" ht="14.25" customHeight="1">
      <c r="B608" s="208"/>
      <c r="E608" s="208"/>
      <c r="G608" s="209"/>
    </row>
    <row r="609" ht="14.25" customHeight="1">
      <c r="B609" s="208"/>
      <c r="E609" s="208"/>
      <c r="G609" s="209"/>
    </row>
    <row r="610" ht="14.25" customHeight="1">
      <c r="B610" s="208"/>
      <c r="E610" s="208"/>
      <c r="G610" s="209"/>
    </row>
    <row r="611" ht="14.25" customHeight="1">
      <c r="B611" s="208"/>
      <c r="E611" s="208"/>
      <c r="G611" s="209"/>
    </row>
    <row r="612" ht="14.25" customHeight="1">
      <c r="B612" s="208"/>
      <c r="E612" s="208"/>
      <c r="G612" s="209"/>
    </row>
    <row r="613" ht="14.25" customHeight="1">
      <c r="B613" s="208"/>
      <c r="E613" s="208"/>
      <c r="G613" s="209"/>
    </row>
    <row r="614" ht="14.25" customHeight="1">
      <c r="B614" s="208"/>
      <c r="E614" s="208"/>
      <c r="G614" s="209"/>
    </row>
    <row r="615" ht="14.25" customHeight="1">
      <c r="B615" s="208"/>
      <c r="E615" s="208"/>
      <c r="G615" s="209"/>
    </row>
    <row r="616" ht="14.25" customHeight="1">
      <c r="B616" s="208"/>
      <c r="E616" s="208"/>
      <c r="G616" s="209"/>
    </row>
    <row r="617" ht="14.25" customHeight="1">
      <c r="B617" s="208"/>
      <c r="E617" s="208"/>
      <c r="G617" s="209"/>
    </row>
    <row r="618" ht="14.25" customHeight="1">
      <c r="B618" s="208"/>
      <c r="E618" s="208"/>
      <c r="G618" s="209"/>
    </row>
    <row r="619" ht="14.25" customHeight="1">
      <c r="B619" s="208"/>
      <c r="E619" s="208"/>
      <c r="G619" s="209"/>
    </row>
    <row r="620" ht="14.25" customHeight="1">
      <c r="B620" s="208"/>
      <c r="E620" s="208"/>
      <c r="G620" s="209"/>
    </row>
    <row r="621" ht="14.25" customHeight="1">
      <c r="B621" s="208"/>
      <c r="E621" s="208"/>
      <c r="G621" s="209"/>
    </row>
    <row r="622" ht="14.25" customHeight="1">
      <c r="B622" s="208"/>
      <c r="E622" s="208"/>
      <c r="G622" s="209"/>
    </row>
    <row r="623" ht="14.25" customHeight="1">
      <c r="B623" s="208"/>
      <c r="E623" s="208"/>
      <c r="G623" s="209"/>
    </row>
    <row r="624" ht="14.25" customHeight="1">
      <c r="B624" s="208"/>
      <c r="E624" s="208"/>
      <c r="G624" s="209"/>
    </row>
    <row r="625" ht="14.25" customHeight="1">
      <c r="B625" s="208"/>
      <c r="E625" s="208"/>
      <c r="G625" s="209"/>
    </row>
    <row r="626" ht="14.25" customHeight="1">
      <c r="B626" s="208"/>
      <c r="E626" s="208"/>
      <c r="G626" s="209"/>
    </row>
    <row r="627" ht="14.25" customHeight="1">
      <c r="B627" s="208"/>
      <c r="E627" s="208"/>
      <c r="G627" s="209"/>
    </row>
    <row r="628" ht="14.25" customHeight="1">
      <c r="B628" s="208"/>
      <c r="E628" s="208"/>
      <c r="G628" s="209"/>
    </row>
    <row r="629" ht="14.25" customHeight="1">
      <c r="B629" s="208"/>
      <c r="E629" s="208"/>
      <c r="G629" s="209"/>
    </row>
    <row r="630" ht="14.25" customHeight="1">
      <c r="B630" s="208"/>
      <c r="E630" s="208"/>
      <c r="G630" s="209"/>
    </row>
    <row r="631" ht="14.25" customHeight="1">
      <c r="B631" s="208"/>
      <c r="E631" s="208"/>
      <c r="G631" s="209"/>
    </row>
    <row r="632" ht="14.25" customHeight="1">
      <c r="B632" s="208"/>
      <c r="E632" s="208"/>
      <c r="G632" s="209"/>
    </row>
    <row r="633" ht="14.25" customHeight="1">
      <c r="B633" s="208"/>
      <c r="E633" s="208"/>
      <c r="G633" s="209"/>
    </row>
    <row r="634" ht="14.25" customHeight="1">
      <c r="B634" s="208"/>
      <c r="E634" s="208"/>
      <c r="G634" s="209"/>
    </row>
    <row r="635" ht="14.25" customHeight="1">
      <c r="B635" s="208"/>
      <c r="E635" s="208"/>
      <c r="G635" s="209"/>
    </row>
    <row r="636" ht="14.25" customHeight="1">
      <c r="B636" s="208"/>
      <c r="E636" s="208"/>
      <c r="G636" s="209"/>
    </row>
    <row r="637" ht="14.25" customHeight="1">
      <c r="B637" s="208"/>
      <c r="E637" s="208"/>
      <c r="G637" s="209"/>
    </row>
    <row r="638" ht="14.25" customHeight="1">
      <c r="B638" s="208"/>
      <c r="E638" s="208"/>
      <c r="G638" s="209"/>
    </row>
    <row r="639" ht="14.25" customHeight="1">
      <c r="B639" s="208"/>
      <c r="E639" s="208"/>
      <c r="G639" s="209"/>
    </row>
    <row r="640" ht="14.25" customHeight="1">
      <c r="B640" s="208"/>
      <c r="E640" s="208"/>
      <c r="G640" s="209"/>
    </row>
    <row r="641" ht="14.25" customHeight="1">
      <c r="B641" s="208"/>
      <c r="E641" s="208"/>
      <c r="G641" s="209"/>
    </row>
    <row r="642" ht="14.25" customHeight="1">
      <c r="B642" s="208"/>
      <c r="E642" s="208"/>
      <c r="G642" s="209"/>
    </row>
    <row r="643" ht="14.25" customHeight="1">
      <c r="B643" s="208"/>
      <c r="E643" s="208"/>
      <c r="G643" s="209"/>
    </row>
    <row r="644" ht="14.25" customHeight="1">
      <c r="B644" s="208"/>
      <c r="E644" s="208"/>
      <c r="G644" s="209"/>
    </row>
    <row r="645" ht="14.25" customHeight="1">
      <c r="B645" s="208"/>
      <c r="E645" s="208"/>
      <c r="G645" s="209"/>
    </row>
    <row r="646" ht="14.25" customHeight="1">
      <c r="B646" s="208"/>
      <c r="E646" s="208"/>
      <c r="G646" s="209"/>
    </row>
    <row r="647" ht="14.25" customHeight="1">
      <c r="B647" s="208"/>
      <c r="E647" s="208"/>
      <c r="G647" s="209"/>
    </row>
    <row r="648" ht="14.25" customHeight="1">
      <c r="B648" s="208"/>
      <c r="E648" s="208"/>
      <c r="G648" s="209"/>
    </row>
    <row r="649" ht="14.25" customHeight="1">
      <c r="B649" s="208"/>
      <c r="E649" s="208"/>
      <c r="G649" s="209"/>
    </row>
    <row r="650" ht="14.25" customHeight="1">
      <c r="B650" s="208"/>
      <c r="E650" s="208"/>
      <c r="G650" s="209"/>
    </row>
    <row r="651" ht="14.25" customHeight="1">
      <c r="B651" s="208"/>
      <c r="E651" s="208"/>
      <c r="G651" s="209"/>
    </row>
    <row r="652" ht="14.25" customHeight="1">
      <c r="B652" s="208"/>
      <c r="E652" s="208"/>
      <c r="G652" s="209"/>
    </row>
    <row r="653" ht="14.25" customHeight="1">
      <c r="B653" s="208"/>
      <c r="E653" s="208"/>
      <c r="G653" s="209"/>
    </row>
    <row r="654" ht="14.25" customHeight="1">
      <c r="B654" s="208"/>
      <c r="E654" s="208"/>
      <c r="G654" s="209"/>
    </row>
    <row r="655" ht="14.25" customHeight="1">
      <c r="B655" s="208"/>
      <c r="E655" s="208"/>
      <c r="G655" s="209"/>
    </row>
    <row r="656" ht="14.25" customHeight="1">
      <c r="B656" s="208"/>
      <c r="E656" s="208"/>
      <c r="G656" s="209"/>
    </row>
    <row r="657" ht="14.25" customHeight="1">
      <c r="B657" s="208"/>
      <c r="E657" s="208"/>
      <c r="G657" s="209"/>
    </row>
    <row r="658" ht="14.25" customHeight="1">
      <c r="B658" s="208"/>
      <c r="E658" s="208"/>
      <c r="G658" s="209"/>
    </row>
    <row r="659" ht="14.25" customHeight="1">
      <c r="B659" s="208"/>
      <c r="E659" s="208"/>
      <c r="G659" s="209"/>
    </row>
    <row r="660" ht="14.25" customHeight="1">
      <c r="B660" s="208"/>
      <c r="E660" s="208"/>
      <c r="G660" s="209"/>
    </row>
    <row r="661" ht="14.25" customHeight="1">
      <c r="B661" s="208"/>
      <c r="E661" s="208"/>
      <c r="G661" s="209"/>
    </row>
    <row r="662" ht="14.25" customHeight="1">
      <c r="B662" s="208"/>
      <c r="E662" s="208"/>
      <c r="G662" s="209"/>
    </row>
    <row r="663" ht="14.25" customHeight="1">
      <c r="B663" s="208"/>
      <c r="E663" s="208"/>
      <c r="G663" s="209"/>
    </row>
    <row r="664" ht="14.25" customHeight="1">
      <c r="B664" s="208"/>
      <c r="E664" s="208"/>
      <c r="G664" s="209"/>
    </row>
    <row r="665" ht="14.25" customHeight="1">
      <c r="B665" s="208"/>
      <c r="E665" s="208"/>
      <c r="G665" s="209"/>
    </row>
    <row r="666" ht="14.25" customHeight="1">
      <c r="B666" s="208"/>
      <c r="E666" s="208"/>
      <c r="G666" s="209"/>
    </row>
    <row r="667" ht="14.25" customHeight="1">
      <c r="B667" s="208"/>
      <c r="E667" s="208"/>
      <c r="G667" s="209"/>
    </row>
    <row r="668" ht="14.25" customHeight="1">
      <c r="B668" s="208"/>
      <c r="E668" s="208"/>
      <c r="G668" s="209"/>
    </row>
    <row r="669" ht="14.25" customHeight="1">
      <c r="B669" s="208"/>
      <c r="E669" s="208"/>
      <c r="G669" s="209"/>
    </row>
    <row r="670" ht="14.25" customHeight="1">
      <c r="B670" s="208"/>
      <c r="E670" s="208"/>
      <c r="G670" s="209"/>
    </row>
    <row r="671" ht="14.25" customHeight="1">
      <c r="B671" s="208"/>
      <c r="E671" s="208"/>
      <c r="G671" s="209"/>
    </row>
    <row r="672" ht="14.25" customHeight="1">
      <c r="B672" s="208"/>
      <c r="E672" s="208"/>
      <c r="G672" s="209"/>
    </row>
    <row r="673" ht="14.25" customHeight="1">
      <c r="B673" s="208"/>
      <c r="E673" s="208"/>
      <c r="G673" s="209"/>
    </row>
    <row r="674" ht="14.25" customHeight="1">
      <c r="B674" s="208"/>
      <c r="E674" s="208"/>
      <c r="G674" s="209"/>
    </row>
    <row r="675" ht="14.25" customHeight="1">
      <c r="B675" s="208"/>
      <c r="E675" s="208"/>
      <c r="G675" s="209"/>
    </row>
    <row r="676" ht="14.25" customHeight="1">
      <c r="B676" s="208"/>
      <c r="E676" s="208"/>
      <c r="G676" s="209"/>
    </row>
    <row r="677" ht="14.25" customHeight="1">
      <c r="B677" s="208"/>
      <c r="E677" s="208"/>
      <c r="G677" s="209"/>
    </row>
    <row r="678" ht="14.25" customHeight="1">
      <c r="B678" s="208"/>
      <c r="E678" s="208"/>
      <c r="G678" s="209"/>
    </row>
    <row r="679" ht="14.25" customHeight="1">
      <c r="B679" s="208"/>
      <c r="E679" s="208"/>
      <c r="G679" s="209"/>
    </row>
    <row r="680" ht="14.25" customHeight="1">
      <c r="B680" s="208"/>
      <c r="E680" s="208"/>
      <c r="G680" s="209"/>
    </row>
    <row r="681" ht="14.25" customHeight="1">
      <c r="B681" s="208"/>
      <c r="E681" s="208"/>
      <c r="G681" s="209"/>
    </row>
    <row r="682" ht="14.25" customHeight="1">
      <c r="B682" s="208"/>
      <c r="E682" s="208"/>
      <c r="G682" s="209"/>
    </row>
    <row r="683" ht="14.25" customHeight="1">
      <c r="B683" s="208"/>
      <c r="E683" s="208"/>
      <c r="G683" s="209"/>
    </row>
    <row r="684" ht="14.25" customHeight="1">
      <c r="B684" s="208"/>
      <c r="E684" s="208"/>
      <c r="G684" s="209"/>
    </row>
    <row r="685" ht="14.25" customHeight="1">
      <c r="B685" s="208"/>
      <c r="E685" s="208"/>
      <c r="G685" s="209"/>
    </row>
    <row r="686" ht="14.25" customHeight="1">
      <c r="B686" s="208"/>
      <c r="E686" s="208"/>
      <c r="G686" s="209"/>
    </row>
    <row r="687" ht="14.25" customHeight="1">
      <c r="B687" s="208"/>
      <c r="E687" s="208"/>
      <c r="G687" s="209"/>
    </row>
    <row r="688" ht="14.25" customHeight="1">
      <c r="B688" s="208"/>
      <c r="E688" s="208"/>
      <c r="G688" s="209"/>
    </row>
    <row r="689" ht="14.25" customHeight="1">
      <c r="B689" s="208"/>
      <c r="E689" s="208"/>
      <c r="G689" s="209"/>
    </row>
    <row r="690" ht="14.25" customHeight="1">
      <c r="B690" s="208"/>
      <c r="E690" s="208"/>
      <c r="G690" s="209"/>
    </row>
    <row r="691" ht="14.25" customHeight="1">
      <c r="B691" s="208"/>
      <c r="E691" s="208"/>
      <c r="G691" s="209"/>
    </row>
    <row r="692" ht="14.25" customHeight="1">
      <c r="B692" s="208"/>
      <c r="E692" s="208"/>
      <c r="G692" s="209"/>
    </row>
    <row r="693" ht="14.25" customHeight="1">
      <c r="B693" s="208"/>
      <c r="E693" s="208"/>
      <c r="G693" s="209"/>
    </row>
    <row r="694" ht="14.25" customHeight="1">
      <c r="B694" s="208"/>
      <c r="E694" s="208"/>
      <c r="G694" s="209"/>
    </row>
    <row r="695" ht="14.25" customHeight="1">
      <c r="B695" s="208"/>
      <c r="E695" s="208"/>
      <c r="G695" s="209"/>
    </row>
    <row r="696" ht="14.25" customHeight="1">
      <c r="B696" s="208"/>
      <c r="E696" s="208"/>
      <c r="G696" s="209"/>
    </row>
    <row r="697" ht="14.25" customHeight="1">
      <c r="B697" s="208"/>
      <c r="E697" s="208"/>
      <c r="G697" s="209"/>
    </row>
    <row r="698" ht="14.25" customHeight="1">
      <c r="B698" s="208"/>
      <c r="E698" s="208"/>
      <c r="G698" s="209"/>
    </row>
    <row r="699" ht="14.25" customHeight="1">
      <c r="B699" s="208"/>
      <c r="E699" s="208"/>
      <c r="G699" s="209"/>
    </row>
    <row r="700" ht="14.25" customHeight="1">
      <c r="B700" s="208"/>
      <c r="E700" s="208"/>
      <c r="G700" s="209"/>
    </row>
    <row r="701" ht="14.25" customHeight="1">
      <c r="B701" s="208"/>
      <c r="E701" s="208"/>
      <c r="G701" s="209"/>
    </row>
    <row r="702" ht="14.25" customHeight="1">
      <c r="B702" s="208"/>
      <c r="E702" s="208"/>
      <c r="G702" s="209"/>
    </row>
    <row r="703" ht="14.25" customHeight="1">
      <c r="B703" s="208"/>
      <c r="E703" s="208"/>
      <c r="G703" s="209"/>
    </row>
    <row r="704" ht="14.25" customHeight="1">
      <c r="B704" s="208"/>
      <c r="E704" s="208"/>
      <c r="G704" s="209"/>
    </row>
    <row r="705" ht="14.25" customHeight="1">
      <c r="B705" s="208"/>
      <c r="E705" s="208"/>
      <c r="G705" s="209"/>
    </row>
    <row r="706" ht="14.25" customHeight="1">
      <c r="B706" s="208"/>
      <c r="E706" s="208"/>
      <c r="G706" s="209"/>
    </row>
    <row r="707" ht="14.25" customHeight="1">
      <c r="B707" s="208"/>
      <c r="E707" s="208"/>
      <c r="G707" s="209"/>
    </row>
    <row r="708" ht="14.25" customHeight="1">
      <c r="B708" s="208"/>
      <c r="E708" s="208"/>
      <c r="G708" s="209"/>
    </row>
    <row r="709" ht="14.25" customHeight="1">
      <c r="B709" s="208"/>
      <c r="E709" s="208"/>
      <c r="G709" s="209"/>
    </row>
    <row r="710" ht="14.25" customHeight="1">
      <c r="B710" s="208"/>
      <c r="E710" s="208"/>
      <c r="G710" s="209"/>
    </row>
    <row r="711" ht="14.25" customHeight="1">
      <c r="B711" s="208"/>
      <c r="E711" s="208"/>
      <c r="G711" s="209"/>
    </row>
    <row r="712" ht="14.25" customHeight="1">
      <c r="B712" s="208"/>
      <c r="E712" s="208"/>
      <c r="G712" s="209"/>
    </row>
    <row r="713" ht="14.25" customHeight="1">
      <c r="B713" s="208"/>
      <c r="E713" s="208"/>
      <c r="G713" s="209"/>
    </row>
    <row r="714" ht="14.25" customHeight="1">
      <c r="B714" s="208"/>
      <c r="E714" s="208"/>
      <c r="G714" s="209"/>
    </row>
    <row r="715" ht="14.25" customHeight="1">
      <c r="B715" s="208"/>
      <c r="E715" s="208"/>
      <c r="G715" s="209"/>
    </row>
    <row r="716" ht="14.25" customHeight="1">
      <c r="B716" s="208"/>
      <c r="E716" s="208"/>
      <c r="G716" s="209"/>
    </row>
    <row r="717" ht="14.25" customHeight="1">
      <c r="B717" s="208"/>
      <c r="E717" s="208"/>
      <c r="G717" s="209"/>
    </row>
    <row r="718" ht="14.25" customHeight="1">
      <c r="B718" s="208"/>
      <c r="E718" s="208"/>
      <c r="G718" s="209"/>
    </row>
    <row r="719" ht="14.25" customHeight="1">
      <c r="B719" s="208"/>
      <c r="E719" s="208"/>
      <c r="G719" s="209"/>
    </row>
    <row r="720" ht="14.25" customHeight="1">
      <c r="B720" s="208"/>
      <c r="E720" s="208"/>
      <c r="G720" s="209"/>
    </row>
    <row r="721" ht="14.25" customHeight="1">
      <c r="B721" s="208"/>
      <c r="E721" s="208"/>
      <c r="G721" s="209"/>
    </row>
    <row r="722" ht="14.25" customHeight="1">
      <c r="B722" s="208"/>
      <c r="E722" s="208"/>
      <c r="G722" s="209"/>
    </row>
    <row r="723" ht="14.25" customHeight="1">
      <c r="B723" s="208"/>
      <c r="E723" s="208"/>
      <c r="G723" s="209"/>
    </row>
    <row r="724" ht="14.25" customHeight="1">
      <c r="B724" s="208"/>
      <c r="E724" s="208"/>
      <c r="G724" s="209"/>
    </row>
    <row r="725" ht="14.25" customHeight="1">
      <c r="B725" s="208"/>
      <c r="E725" s="208"/>
      <c r="G725" s="209"/>
    </row>
    <row r="726" ht="14.25" customHeight="1">
      <c r="B726" s="208"/>
      <c r="E726" s="208"/>
      <c r="G726" s="209"/>
    </row>
    <row r="727" ht="14.25" customHeight="1">
      <c r="B727" s="208"/>
      <c r="E727" s="208"/>
      <c r="G727" s="209"/>
    </row>
    <row r="728" ht="14.25" customHeight="1">
      <c r="B728" s="208"/>
      <c r="E728" s="208"/>
      <c r="G728" s="209"/>
    </row>
    <row r="729" ht="14.25" customHeight="1">
      <c r="B729" s="208"/>
      <c r="E729" s="208"/>
      <c r="G729" s="209"/>
    </row>
    <row r="730" ht="14.25" customHeight="1">
      <c r="B730" s="208"/>
      <c r="E730" s="208"/>
      <c r="G730" s="209"/>
    </row>
    <row r="731" ht="14.25" customHeight="1">
      <c r="B731" s="208"/>
      <c r="E731" s="208"/>
      <c r="G731" s="209"/>
    </row>
    <row r="732" ht="14.25" customHeight="1">
      <c r="B732" s="208"/>
      <c r="E732" s="208"/>
      <c r="G732" s="209"/>
    </row>
    <row r="733" ht="14.25" customHeight="1">
      <c r="B733" s="208"/>
      <c r="E733" s="208"/>
      <c r="G733" s="209"/>
    </row>
    <row r="734" ht="14.25" customHeight="1">
      <c r="B734" s="208"/>
      <c r="E734" s="208"/>
      <c r="G734" s="209"/>
    </row>
    <row r="735" ht="14.25" customHeight="1">
      <c r="B735" s="208"/>
      <c r="E735" s="208"/>
      <c r="G735" s="209"/>
    </row>
    <row r="736" ht="14.25" customHeight="1">
      <c r="B736" s="208"/>
      <c r="E736" s="208"/>
      <c r="G736" s="209"/>
    </row>
    <row r="737" ht="14.25" customHeight="1">
      <c r="B737" s="208"/>
      <c r="E737" s="208"/>
      <c r="G737" s="209"/>
    </row>
    <row r="738" ht="14.25" customHeight="1">
      <c r="B738" s="208"/>
      <c r="E738" s="208"/>
      <c r="G738" s="209"/>
    </row>
    <row r="739" ht="14.25" customHeight="1">
      <c r="B739" s="208"/>
      <c r="E739" s="208"/>
      <c r="G739" s="209"/>
    </row>
    <row r="740" ht="14.25" customHeight="1">
      <c r="B740" s="208"/>
      <c r="E740" s="208"/>
      <c r="G740" s="209"/>
    </row>
    <row r="741" ht="14.25" customHeight="1">
      <c r="B741" s="208"/>
      <c r="E741" s="208"/>
      <c r="G741" s="209"/>
    </row>
    <row r="742" ht="14.25" customHeight="1">
      <c r="B742" s="208"/>
      <c r="E742" s="208"/>
      <c r="G742" s="209"/>
    </row>
    <row r="743" ht="14.25" customHeight="1">
      <c r="B743" s="208"/>
      <c r="E743" s="208"/>
      <c r="G743" s="209"/>
    </row>
    <row r="744" ht="14.25" customHeight="1">
      <c r="B744" s="208"/>
      <c r="E744" s="208"/>
      <c r="G744" s="209"/>
    </row>
    <row r="745" ht="14.25" customHeight="1">
      <c r="B745" s="208"/>
      <c r="E745" s="208"/>
      <c r="G745" s="209"/>
    </row>
    <row r="746" ht="14.25" customHeight="1">
      <c r="B746" s="208"/>
      <c r="E746" s="208"/>
      <c r="G746" s="209"/>
    </row>
    <row r="747" ht="14.25" customHeight="1">
      <c r="B747" s="208"/>
      <c r="E747" s="208"/>
      <c r="G747" s="209"/>
    </row>
    <row r="748" ht="14.25" customHeight="1">
      <c r="B748" s="208"/>
      <c r="E748" s="208"/>
      <c r="G748" s="209"/>
    </row>
    <row r="749" ht="14.25" customHeight="1">
      <c r="B749" s="208"/>
      <c r="E749" s="208"/>
      <c r="G749" s="209"/>
    </row>
    <row r="750" ht="14.25" customHeight="1">
      <c r="B750" s="208"/>
      <c r="E750" s="208"/>
      <c r="G750" s="209"/>
    </row>
    <row r="751" ht="14.25" customHeight="1">
      <c r="B751" s="208"/>
      <c r="E751" s="208"/>
      <c r="G751" s="209"/>
    </row>
    <row r="752" ht="14.25" customHeight="1">
      <c r="B752" s="208"/>
      <c r="E752" s="208"/>
      <c r="G752" s="209"/>
    </row>
    <row r="753" ht="14.25" customHeight="1">
      <c r="B753" s="208"/>
      <c r="E753" s="208"/>
      <c r="G753" s="209"/>
    </row>
    <row r="754" ht="14.25" customHeight="1">
      <c r="B754" s="208"/>
      <c r="E754" s="208"/>
      <c r="G754" s="209"/>
    </row>
    <row r="755" ht="14.25" customHeight="1">
      <c r="B755" s="208"/>
      <c r="E755" s="208"/>
      <c r="G755" s="209"/>
    </row>
    <row r="756" ht="14.25" customHeight="1">
      <c r="B756" s="208"/>
      <c r="E756" s="208"/>
      <c r="G756" s="209"/>
    </row>
    <row r="757" ht="14.25" customHeight="1">
      <c r="B757" s="208"/>
      <c r="E757" s="208"/>
      <c r="G757" s="209"/>
    </row>
    <row r="758" ht="14.25" customHeight="1">
      <c r="B758" s="208"/>
      <c r="E758" s="208"/>
      <c r="G758" s="209"/>
    </row>
    <row r="759" ht="14.25" customHeight="1">
      <c r="B759" s="208"/>
      <c r="E759" s="208"/>
      <c r="G759" s="209"/>
    </row>
    <row r="760" ht="14.25" customHeight="1">
      <c r="B760" s="208"/>
      <c r="E760" s="208"/>
      <c r="G760" s="209"/>
    </row>
    <row r="761" ht="14.25" customHeight="1">
      <c r="B761" s="208"/>
      <c r="E761" s="208"/>
      <c r="G761" s="209"/>
    </row>
    <row r="762" ht="14.25" customHeight="1">
      <c r="B762" s="208"/>
      <c r="E762" s="208"/>
      <c r="G762" s="209"/>
    </row>
    <row r="763" ht="14.25" customHeight="1">
      <c r="B763" s="208"/>
      <c r="E763" s="208"/>
      <c r="G763" s="209"/>
    </row>
    <row r="764" ht="14.25" customHeight="1">
      <c r="B764" s="208"/>
      <c r="E764" s="208"/>
      <c r="G764" s="209"/>
    </row>
    <row r="765" ht="14.25" customHeight="1">
      <c r="B765" s="208"/>
      <c r="E765" s="208"/>
      <c r="G765" s="209"/>
    </row>
    <row r="766" ht="14.25" customHeight="1">
      <c r="B766" s="208"/>
      <c r="E766" s="208"/>
      <c r="G766" s="209"/>
    </row>
    <row r="767" ht="14.25" customHeight="1">
      <c r="B767" s="208"/>
      <c r="E767" s="208"/>
      <c r="G767" s="209"/>
    </row>
    <row r="768" ht="14.25" customHeight="1">
      <c r="B768" s="208"/>
      <c r="E768" s="208"/>
      <c r="G768" s="209"/>
    </row>
    <row r="769" ht="14.25" customHeight="1">
      <c r="B769" s="208"/>
      <c r="E769" s="208"/>
      <c r="G769" s="209"/>
    </row>
    <row r="770" ht="14.25" customHeight="1">
      <c r="B770" s="208"/>
      <c r="E770" s="208"/>
      <c r="G770" s="209"/>
    </row>
    <row r="771" ht="14.25" customHeight="1">
      <c r="B771" s="208"/>
      <c r="E771" s="208"/>
      <c r="G771" s="209"/>
    </row>
    <row r="772" ht="14.25" customHeight="1">
      <c r="B772" s="208"/>
      <c r="E772" s="208"/>
      <c r="G772" s="209"/>
    </row>
    <row r="773" ht="14.25" customHeight="1">
      <c r="B773" s="208"/>
      <c r="E773" s="208"/>
      <c r="G773" s="209"/>
    </row>
    <row r="774" ht="14.25" customHeight="1">
      <c r="B774" s="208"/>
      <c r="E774" s="208"/>
      <c r="G774" s="209"/>
    </row>
    <row r="775" ht="14.25" customHeight="1">
      <c r="B775" s="208"/>
      <c r="E775" s="208"/>
      <c r="G775" s="209"/>
    </row>
    <row r="776" ht="14.25" customHeight="1">
      <c r="B776" s="208"/>
      <c r="E776" s="208"/>
      <c r="G776" s="209"/>
    </row>
    <row r="777" ht="14.25" customHeight="1">
      <c r="B777" s="208"/>
      <c r="E777" s="208"/>
      <c r="G777" s="209"/>
    </row>
    <row r="778" ht="14.25" customHeight="1">
      <c r="B778" s="208"/>
      <c r="E778" s="208"/>
      <c r="G778" s="209"/>
    </row>
    <row r="779" ht="14.25" customHeight="1">
      <c r="B779" s="208"/>
      <c r="E779" s="208"/>
      <c r="G779" s="209"/>
    </row>
    <row r="780" ht="14.25" customHeight="1">
      <c r="B780" s="208"/>
      <c r="E780" s="208"/>
      <c r="G780" s="209"/>
    </row>
    <row r="781" ht="14.25" customHeight="1">
      <c r="B781" s="208"/>
      <c r="E781" s="208"/>
      <c r="G781" s="209"/>
    </row>
    <row r="782" ht="14.25" customHeight="1">
      <c r="B782" s="208"/>
      <c r="E782" s="208"/>
      <c r="G782" s="209"/>
    </row>
    <row r="783" ht="14.25" customHeight="1">
      <c r="B783" s="208"/>
      <c r="E783" s="208"/>
      <c r="G783" s="209"/>
    </row>
    <row r="784" ht="14.25" customHeight="1">
      <c r="B784" s="208"/>
      <c r="E784" s="208"/>
      <c r="G784" s="209"/>
    </row>
    <row r="785" ht="14.25" customHeight="1">
      <c r="B785" s="208"/>
      <c r="E785" s="208"/>
      <c r="G785" s="209"/>
    </row>
    <row r="786" ht="14.25" customHeight="1">
      <c r="B786" s="208"/>
      <c r="E786" s="208"/>
      <c r="G786" s="209"/>
    </row>
    <row r="787" ht="14.25" customHeight="1">
      <c r="B787" s="208"/>
      <c r="E787" s="208"/>
      <c r="G787" s="209"/>
    </row>
    <row r="788" ht="14.25" customHeight="1">
      <c r="B788" s="208"/>
      <c r="E788" s="208"/>
      <c r="G788" s="209"/>
    </row>
    <row r="789" ht="14.25" customHeight="1">
      <c r="B789" s="208"/>
      <c r="E789" s="208"/>
      <c r="G789" s="209"/>
    </row>
    <row r="790" ht="14.25" customHeight="1">
      <c r="B790" s="208"/>
      <c r="E790" s="208"/>
      <c r="G790" s="209"/>
    </row>
    <row r="791" ht="14.25" customHeight="1">
      <c r="B791" s="208"/>
      <c r="E791" s="208"/>
      <c r="G791" s="209"/>
    </row>
    <row r="792" ht="14.25" customHeight="1">
      <c r="B792" s="208"/>
      <c r="E792" s="208"/>
      <c r="G792" s="209"/>
    </row>
    <row r="793" ht="14.25" customHeight="1">
      <c r="B793" s="208"/>
      <c r="E793" s="208"/>
      <c r="G793" s="209"/>
    </row>
    <row r="794" ht="14.25" customHeight="1">
      <c r="B794" s="208"/>
      <c r="E794" s="208"/>
      <c r="G794" s="209"/>
    </row>
    <row r="795" ht="14.25" customHeight="1">
      <c r="B795" s="208"/>
      <c r="E795" s="208"/>
      <c r="G795" s="209"/>
    </row>
    <row r="796" ht="14.25" customHeight="1">
      <c r="B796" s="208"/>
      <c r="E796" s="208"/>
      <c r="G796" s="209"/>
    </row>
    <row r="797" ht="14.25" customHeight="1">
      <c r="B797" s="208"/>
      <c r="E797" s="208"/>
      <c r="G797" s="209"/>
    </row>
    <row r="798" ht="14.25" customHeight="1">
      <c r="B798" s="208"/>
      <c r="E798" s="208"/>
      <c r="G798" s="209"/>
    </row>
    <row r="799" ht="14.25" customHeight="1">
      <c r="B799" s="208"/>
      <c r="E799" s="208"/>
      <c r="G799" s="209"/>
    </row>
    <row r="800" ht="14.25" customHeight="1">
      <c r="B800" s="208"/>
      <c r="E800" s="208"/>
      <c r="G800" s="209"/>
    </row>
    <row r="801" ht="14.25" customHeight="1">
      <c r="B801" s="208"/>
      <c r="E801" s="208"/>
      <c r="G801" s="209"/>
    </row>
    <row r="802" ht="14.25" customHeight="1">
      <c r="B802" s="208"/>
      <c r="E802" s="208"/>
      <c r="G802" s="209"/>
    </row>
    <row r="803" ht="14.25" customHeight="1">
      <c r="B803" s="208"/>
      <c r="E803" s="208"/>
      <c r="G803" s="209"/>
    </row>
    <row r="804" ht="14.25" customHeight="1">
      <c r="B804" s="208"/>
      <c r="E804" s="208"/>
      <c r="G804" s="209"/>
    </row>
    <row r="805" ht="14.25" customHeight="1">
      <c r="B805" s="208"/>
      <c r="E805" s="208"/>
      <c r="G805" s="209"/>
    </row>
    <row r="806" ht="14.25" customHeight="1">
      <c r="B806" s="208"/>
      <c r="E806" s="208"/>
      <c r="G806" s="209"/>
    </row>
    <row r="807" ht="14.25" customHeight="1">
      <c r="B807" s="208"/>
      <c r="E807" s="208"/>
      <c r="G807" s="209"/>
    </row>
    <row r="808" ht="14.25" customHeight="1">
      <c r="B808" s="208"/>
      <c r="E808" s="208"/>
      <c r="G808" s="209"/>
    </row>
    <row r="809" ht="14.25" customHeight="1">
      <c r="B809" s="208"/>
      <c r="E809" s="208"/>
      <c r="G809" s="209"/>
    </row>
    <row r="810" ht="14.25" customHeight="1">
      <c r="B810" s="208"/>
      <c r="E810" s="208"/>
      <c r="G810" s="209"/>
    </row>
    <row r="811" ht="14.25" customHeight="1">
      <c r="B811" s="208"/>
      <c r="E811" s="208"/>
      <c r="G811" s="209"/>
    </row>
    <row r="812" ht="14.25" customHeight="1">
      <c r="B812" s="208"/>
      <c r="E812" s="208"/>
      <c r="G812" s="209"/>
    </row>
    <row r="813" ht="14.25" customHeight="1">
      <c r="B813" s="208"/>
      <c r="E813" s="208"/>
      <c r="G813" s="209"/>
    </row>
    <row r="814" ht="14.25" customHeight="1">
      <c r="B814" s="208"/>
      <c r="E814" s="208"/>
      <c r="G814" s="209"/>
    </row>
    <row r="815" ht="14.25" customHeight="1">
      <c r="B815" s="208"/>
      <c r="E815" s="208"/>
      <c r="G815" s="209"/>
    </row>
    <row r="816" ht="14.25" customHeight="1">
      <c r="B816" s="208"/>
      <c r="E816" s="208"/>
      <c r="G816" s="209"/>
    </row>
    <row r="817" ht="14.25" customHeight="1">
      <c r="B817" s="208"/>
      <c r="E817" s="208"/>
      <c r="G817" s="209"/>
    </row>
    <row r="818" ht="14.25" customHeight="1">
      <c r="B818" s="208"/>
      <c r="E818" s="208"/>
      <c r="G818" s="209"/>
    </row>
    <row r="819" ht="14.25" customHeight="1">
      <c r="B819" s="208"/>
      <c r="E819" s="208"/>
      <c r="G819" s="209"/>
    </row>
    <row r="820" ht="14.25" customHeight="1">
      <c r="B820" s="208"/>
      <c r="E820" s="208"/>
      <c r="G820" s="209"/>
    </row>
    <row r="821" ht="14.25" customHeight="1">
      <c r="B821" s="208"/>
      <c r="E821" s="208"/>
      <c r="G821" s="209"/>
    </row>
    <row r="822" ht="14.25" customHeight="1">
      <c r="B822" s="208"/>
      <c r="E822" s="208"/>
      <c r="G822" s="209"/>
    </row>
    <row r="823" ht="14.25" customHeight="1">
      <c r="B823" s="208"/>
      <c r="E823" s="208"/>
      <c r="G823" s="209"/>
    </row>
    <row r="824" ht="14.25" customHeight="1">
      <c r="B824" s="208"/>
      <c r="E824" s="208"/>
      <c r="G824" s="209"/>
    </row>
    <row r="825" ht="14.25" customHeight="1">
      <c r="B825" s="208"/>
      <c r="E825" s="208"/>
      <c r="G825" s="209"/>
    </row>
    <row r="826" ht="14.25" customHeight="1">
      <c r="B826" s="208"/>
      <c r="E826" s="208"/>
      <c r="G826" s="209"/>
    </row>
    <row r="827" ht="14.25" customHeight="1">
      <c r="B827" s="208"/>
      <c r="E827" s="208"/>
      <c r="G827" s="209"/>
    </row>
    <row r="828" ht="14.25" customHeight="1">
      <c r="B828" s="208"/>
      <c r="E828" s="208"/>
      <c r="G828" s="209"/>
    </row>
    <row r="829" ht="14.25" customHeight="1">
      <c r="B829" s="208"/>
      <c r="E829" s="208"/>
      <c r="G829" s="209"/>
    </row>
    <row r="830" ht="14.25" customHeight="1">
      <c r="B830" s="208"/>
      <c r="E830" s="208"/>
      <c r="G830" s="209"/>
    </row>
    <row r="831" ht="14.25" customHeight="1">
      <c r="B831" s="208"/>
      <c r="E831" s="208"/>
      <c r="G831" s="209"/>
    </row>
    <row r="832" ht="14.25" customHeight="1">
      <c r="B832" s="208"/>
      <c r="E832" s="208"/>
      <c r="G832" s="209"/>
    </row>
    <row r="833" ht="14.25" customHeight="1">
      <c r="B833" s="208"/>
      <c r="E833" s="208"/>
      <c r="G833" s="209"/>
    </row>
    <row r="834" ht="14.25" customHeight="1">
      <c r="B834" s="208"/>
      <c r="E834" s="208"/>
      <c r="G834" s="209"/>
    </row>
    <row r="835" ht="14.25" customHeight="1">
      <c r="B835" s="208"/>
      <c r="E835" s="208"/>
      <c r="G835" s="209"/>
    </row>
    <row r="836" ht="14.25" customHeight="1">
      <c r="B836" s="208"/>
      <c r="E836" s="208"/>
      <c r="G836" s="209"/>
    </row>
    <row r="837" ht="14.25" customHeight="1">
      <c r="B837" s="208"/>
      <c r="E837" s="208"/>
      <c r="G837" s="209"/>
    </row>
    <row r="838" ht="14.25" customHeight="1">
      <c r="B838" s="208"/>
      <c r="E838" s="208"/>
      <c r="G838" s="209"/>
    </row>
    <row r="839" ht="14.25" customHeight="1">
      <c r="B839" s="208"/>
      <c r="E839" s="208"/>
      <c r="G839" s="209"/>
    </row>
    <row r="840" ht="14.25" customHeight="1">
      <c r="B840" s="208"/>
      <c r="E840" s="208"/>
      <c r="G840" s="209"/>
    </row>
    <row r="841" ht="14.25" customHeight="1">
      <c r="B841" s="208"/>
      <c r="E841" s="208"/>
      <c r="G841" s="209"/>
    </row>
    <row r="842" ht="14.25" customHeight="1">
      <c r="B842" s="208"/>
      <c r="E842" s="208"/>
      <c r="G842" s="209"/>
    </row>
    <row r="843" ht="14.25" customHeight="1">
      <c r="B843" s="208"/>
      <c r="E843" s="208"/>
      <c r="G843" s="209"/>
    </row>
    <row r="844" ht="14.25" customHeight="1">
      <c r="B844" s="208"/>
      <c r="E844" s="208"/>
      <c r="G844" s="209"/>
    </row>
    <row r="845" ht="14.25" customHeight="1">
      <c r="B845" s="208"/>
      <c r="E845" s="208"/>
      <c r="G845" s="209"/>
    </row>
    <row r="846" ht="14.25" customHeight="1">
      <c r="B846" s="208"/>
      <c r="E846" s="208"/>
      <c r="G846" s="209"/>
    </row>
    <row r="847" ht="14.25" customHeight="1">
      <c r="B847" s="208"/>
      <c r="E847" s="208"/>
      <c r="G847" s="209"/>
    </row>
    <row r="848" ht="14.25" customHeight="1">
      <c r="B848" s="208"/>
      <c r="E848" s="208"/>
      <c r="G848" s="209"/>
    </row>
    <row r="849" ht="14.25" customHeight="1">
      <c r="B849" s="208"/>
      <c r="E849" s="208"/>
      <c r="G849" s="209"/>
    </row>
    <row r="850" ht="14.25" customHeight="1">
      <c r="B850" s="208"/>
      <c r="E850" s="208"/>
      <c r="G850" s="209"/>
    </row>
    <row r="851" ht="14.25" customHeight="1">
      <c r="B851" s="208"/>
      <c r="E851" s="208"/>
      <c r="G851" s="209"/>
    </row>
    <row r="852" ht="14.25" customHeight="1">
      <c r="B852" s="208"/>
      <c r="E852" s="208"/>
      <c r="G852" s="209"/>
    </row>
    <row r="853" ht="14.25" customHeight="1">
      <c r="B853" s="208"/>
      <c r="E853" s="208"/>
      <c r="G853" s="209"/>
    </row>
    <row r="854" ht="14.25" customHeight="1">
      <c r="B854" s="208"/>
      <c r="E854" s="208"/>
      <c r="G854" s="209"/>
    </row>
    <row r="855" ht="14.25" customHeight="1">
      <c r="B855" s="208"/>
      <c r="E855" s="208"/>
      <c r="G855" s="209"/>
    </row>
    <row r="856" ht="14.25" customHeight="1">
      <c r="B856" s="208"/>
      <c r="E856" s="208"/>
      <c r="G856" s="209"/>
    </row>
    <row r="857" ht="14.25" customHeight="1">
      <c r="B857" s="208"/>
      <c r="E857" s="208"/>
      <c r="G857" s="209"/>
    </row>
    <row r="858" ht="14.25" customHeight="1">
      <c r="B858" s="208"/>
      <c r="E858" s="208"/>
      <c r="G858" s="209"/>
    </row>
    <row r="859" ht="14.25" customHeight="1">
      <c r="B859" s="208"/>
      <c r="E859" s="208"/>
      <c r="G859" s="209"/>
    </row>
    <row r="860" ht="14.25" customHeight="1">
      <c r="B860" s="208"/>
      <c r="E860" s="208"/>
      <c r="G860" s="209"/>
    </row>
    <row r="861" ht="14.25" customHeight="1">
      <c r="B861" s="208"/>
      <c r="E861" s="208"/>
      <c r="G861" s="209"/>
    </row>
    <row r="862" ht="14.25" customHeight="1">
      <c r="B862" s="208"/>
      <c r="E862" s="208"/>
      <c r="G862" s="209"/>
    </row>
    <row r="863" ht="14.25" customHeight="1">
      <c r="B863" s="208"/>
      <c r="E863" s="208"/>
      <c r="G863" s="209"/>
    </row>
    <row r="864" ht="14.25" customHeight="1">
      <c r="B864" s="208"/>
      <c r="E864" s="208"/>
      <c r="G864" s="209"/>
    </row>
    <row r="865" ht="14.25" customHeight="1">
      <c r="B865" s="208"/>
      <c r="E865" s="208"/>
      <c r="G865" s="209"/>
    </row>
    <row r="866" ht="14.25" customHeight="1">
      <c r="B866" s="208"/>
      <c r="E866" s="208"/>
      <c r="G866" s="209"/>
    </row>
    <row r="867" ht="14.25" customHeight="1">
      <c r="B867" s="208"/>
      <c r="E867" s="208"/>
      <c r="G867" s="209"/>
    </row>
    <row r="868" ht="14.25" customHeight="1">
      <c r="B868" s="208"/>
      <c r="E868" s="208"/>
      <c r="G868" s="209"/>
    </row>
    <row r="869" ht="14.25" customHeight="1">
      <c r="B869" s="208"/>
      <c r="E869" s="208"/>
      <c r="G869" s="209"/>
    </row>
    <row r="870" ht="14.25" customHeight="1">
      <c r="B870" s="208"/>
      <c r="E870" s="208"/>
      <c r="G870" s="209"/>
    </row>
    <row r="871" ht="14.25" customHeight="1">
      <c r="B871" s="208"/>
      <c r="E871" s="208"/>
      <c r="G871" s="209"/>
    </row>
    <row r="872" ht="14.25" customHeight="1">
      <c r="B872" s="208"/>
      <c r="E872" s="208"/>
      <c r="G872" s="209"/>
    </row>
    <row r="873" ht="14.25" customHeight="1">
      <c r="B873" s="208"/>
      <c r="E873" s="208"/>
      <c r="G873" s="209"/>
    </row>
    <row r="874" ht="14.25" customHeight="1">
      <c r="B874" s="208"/>
      <c r="E874" s="208"/>
      <c r="G874" s="209"/>
    </row>
    <row r="875" ht="14.25" customHeight="1">
      <c r="B875" s="208"/>
      <c r="E875" s="208"/>
      <c r="G875" s="209"/>
    </row>
    <row r="876" ht="14.25" customHeight="1">
      <c r="B876" s="208"/>
      <c r="E876" s="208"/>
      <c r="G876" s="209"/>
    </row>
    <row r="877" ht="14.25" customHeight="1">
      <c r="B877" s="208"/>
      <c r="E877" s="208"/>
      <c r="G877" s="209"/>
    </row>
    <row r="878" ht="14.25" customHeight="1">
      <c r="B878" s="208"/>
      <c r="E878" s="208"/>
      <c r="G878" s="209"/>
    </row>
    <row r="879" ht="14.25" customHeight="1">
      <c r="B879" s="208"/>
      <c r="E879" s="208"/>
      <c r="G879" s="209"/>
    </row>
    <row r="880" ht="14.25" customHeight="1">
      <c r="B880" s="208"/>
      <c r="E880" s="208"/>
      <c r="G880" s="209"/>
    </row>
    <row r="881" ht="14.25" customHeight="1">
      <c r="B881" s="208"/>
      <c r="E881" s="208"/>
      <c r="G881" s="209"/>
    </row>
    <row r="882" ht="14.25" customHeight="1">
      <c r="B882" s="208"/>
      <c r="E882" s="208"/>
      <c r="G882" s="209"/>
    </row>
    <row r="883" ht="14.25" customHeight="1">
      <c r="B883" s="208"/>
      <c r="E883" s="208"/>
      <c r="G883" s="209"/>
    </row>
    <row r="884" ht="14.25" customHeight="1">
      <c r="B884" s="208"/>
      <c r="E884" s="208"/>
      <c r="G884" s="209"/>
    </row>
    <row r="885" ht="14.25" customHeight="1">
      <c r="B885" s="208"/>
      <c r="E885" s="208"/>
      <c r="G885" s="209"/>
    </row>
    <row r="886" ht="14.25" customHeight="1">
      <c r="B886" s="208"/>
      <c r="E886" s="208"/>
      <c r="G886" s="209"/>
    </row>
    <row r="887" ht="14.25" customHeight="1">
      <c r="B887" s="208"/>
      <c r="E887" s="208"/>
      <c r="G887" s="209"/>
    </row>
    <row r="888" ht="14.25" customHeight="1">
      <c r="B888" s="208"/>
      <c r="E888" s="208"/>
      <c r="G888" s="209"/>
    </row>
    <row r="889" ht="14.25" customHeight="1">
      <c r="B889" s="208"/>
      <c r="E889" s="208"/>
      <c r="G889" s="209"/>
    </row>
    <row r="890" ht="14.25" customHeight="1">
      <c r="B890" s="208"/>
      <c r="E890" s="208"/>
      <c r="G890" s="209"/>
    </row>
    <row r="891" ht="14.25" customHeight="1">
      <c r="B891" s="208"/>
      <c r="E891" s="208"/>
      <c r="G891" s="209"/>
    </row>
    <row r="892" ht="14.25" customHeight="1">
      <c r="B892" s="208"/>
      <c r="E892" s="208"/>
      <c r="G892" s="209"/>
    </row>
    <row r="893" ht="14.25" customHeight="1">
      <c r="B893" s="208"/>
      <c r="E893" s="208"/>
      <c r="G893" s="209"/>
    </row>
    <row r="894" ht="14.25" customHeight="1">
      <c r="B894" s="208"/>
      <c r="E894" s="208"/>
      <c r="G894" s="209"/>
    </row>
    <row r="895" ht="14.25" customHeight="1">
      <c r="B895" s="208"/>
      <c r="E895" s="208"/>
      <c r="G895" s="209"/>
    </row>
    <row r="896" ht="14.25" customHeight="1">
      <c r="B896" s="208"/>
      <c r="E896" s="208"/>
      <c r="G896" s="209"/>
    </row>
    <row r="897" ht="14.25" customHeight="1">
      <c r="B897" s="208"/>
      <c r="E897" s="208"/>
      <c r="G897" s="209"/>
    </row>
    <row r="898" ht="14.25" customHeight="1">
      <c r="B898" s="208"/>
      <c r="E898" s="208"/>
      <c r="G898" s="209"/>
    </row>
    <row r="899" ht="14.25" customHeight="1">
      <c r="B899" s="208"/>
      <c r="E899" s="208"/>
      <c r="G899" s="209"/>
    </row>
    <row r="900" ht="14.25" customHeight="1">
      <c r="B900" s="208"/>
      <c r="E900" s="208"/>
      <c r="G900" s="209"/>
    </row>
    <row r="901" ht="14.25" customHeight="1">
      <c r="B901" s="208"/>
      <c r="E901" s="208"/>
      <c r="G901" s="209"/>
    </row>
    <row r="902" ht="14.25" customHeight="1">
      <c r="B902" s="208"/>
      <c r="E902" s="208"/>
      <c r="G902" s="209"/>
    </row>
    <row r="903" ht="14.25" customHeight="1">
      <c r="B903" s="208"/>
      <c r="E903" s="208"/>
      <c r="G903" s="209"/>
    </row>
    <row r="904" ht="14.25" customHeight="1">
      <c r="B904" s="208"/>
      <c r="E904" s="208"/>
      <c r="G904" s="209"/>
    </row>
    <row r="905" ht="14.25" customHeight="1">
      <c r="B905" s="208"/>
      <c r="E905" s="208"/>
      <c r="G905" s="209"/>
    </row>
    <row r="906" ht="14.25" customHeight="1">
      <c r="B906" s="208"/>
      <c r="E906" s="208"/>
      <c r="G906" s="209"/>
    </row>
    <row r="907" ht="14.25" customHeight="1">
      <c r="B907" s="208"/>
      <c r="E907" s="208"/>
      <c r="G907" s="209"/>
    </row>
    <row r="908" ht="14.25" customHeight="1">
      <c r="B908" s="208"/>
      <c r="E908" s="208"/>
      <c r="G908" s="209"/>
    </row>
    <row r="909" ht="14.25" customHeight="1">
      <c r="B909" s="208"/>
      <c r="E909" s="208"/>
      <c r="G909" s="209"/>
    </row>
    <row r="910" ht="14.25" customHeight="1">
      <c r="B910" s="208"/>
      <c r="E910" s="208"/>
      <c r="G910" s="209"/>
    </row>
    <row r="911" ht="14.25" customHeight="1">
      <c r="B911" s="208"/>
      <c r="E911" s="208"/>
      <c r="G911" s="209"/>
    </row>
    <row r="912" ht="14.25" customHeight="1">
      <c r="B912" s="208"/>
      <c r="E912" s="208"/>
      <c r="G912" s="209"/>
    </row>
    <row r="913" ht="14.25" customHeight="1">
      <c r="B913" s="208"/>
      <c r="E913" s="208"/>
      <c r="G913" s="209"/>
    </row>
    <row r="914" ht="14.25" customHeight="1">
      <c r="B914" s="208"/>
      <c r="E914" s="208"/>
      <c r="G914" s="209"/>
    </row>
    <row r="915" ht="14.25" customHeight="1">
      <c r="B915" s="208"/>
      <c r="E915" s="208"/>
      <c r="G915" s="209"/>
    </row>
    <row r="916" ht="14.25" customHeight="1">
      <c r="B916" s="208"/>
      <c r="E916" s="208"/>
      <c r="G916" s="209"/>
    </row>
    <row r="917" ht="14.25" customHeight="1">
      <c r="B917" s="208"/>
      <c r="E917" s="208"/>
      <c r="G917" s="209"/>
    </row>
    <row r="918" ht="14.25" customHeight="1">
      <c r="B918" s="208"/>
      <c r="E918" s="208"/>
      <c r="G918" s="209"/>
    </row>
    <row r="919" ht="14.25" customHeight="1">
      <c r="B919" s="208"/>
      <c r="E919" s="208"/>
      <c r="G919" s="209"/>
    </row>
    <row r="920" ht="14.25" customHeight="1">
      <c r="B920" s="208"/>
      <c r="E920" s="208"/>
      <c r="G920" s="209"/>
    </row>
    <row r="921" ht="14.25" customHeight="1">
      <c r="B921" s="208"/>
      <c r="E921" s="208"/>
      <c r="G921" s="209"/>
    </row>
    <row r="922" ht="14.25" customHeight="1">
      <c r="B922" s="208"/>
      <c r="E922" s="208"/>
      <c r="G922" s="209"/>
    </row>
    <row r="923" ht="14.25" customHeight="1">
      <c r="B923" s="208"/>
      <c r="E923" s="208"/>
      <c r="G923" s="209"/>
    </row>
    <row r="924" ht="14.25" customHeight="1">
      <c r="B924" s="208"/>
      <c r="E924" s="208"/>
      <c r="G924" s="209"/>
    </row>
  </sheetData>
  <mergeCells count="7">
    <mergeCell ref="J3:J9"/>
    <mergeCell ref="J10:J11"/>
    <mergeCell ref="J12:J14"/>
    <mergeCell ref="J15:J17"/>
    <mergeCell ref="J18:J23"/>
    <mergeCell ref="J24:J28"/>
    <mergeCell ref="J29:J3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2025-08-04T20:22:00Z</dcterms:created>
  <dc:creator>Benjamin Anrique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0BA083C44C694CCB8B2F2A103607E474_12</vt:lpwstr>
  </property>
  <property fmtid="{D5CDD505-2E9C-101B-9397-08002B2CF9AE}" pid="3" name="KSOProductBuildVer">
    <vt:lpwstr>3082-12.2.0.23196</vt:lpwstr>
  </property>
</Properties>
</file>