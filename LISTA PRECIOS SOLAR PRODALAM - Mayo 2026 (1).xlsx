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mae\Desktop\IA Patagonia\Cotizaciones\"/>
    </mc:Choice>
  </mc:AlternateContent>
  <xr:revisionPtr revIDLastSave="0" documentId="13_ncr:1_{DF350565-45C4-47A7-852A-1B73E68DC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Precio Solar Prodalam" sheetId="1" r:id="rId1"/>
    <sheet name="Hoja1" sheetId="2" r:id="rId2"/>
  </sheets>
  <definedNames>
    <definedName name="_xlnm._FilterDatabase" localSheetId="0" hidden="1">'Lista de Precio Solar Prodalam'!$A$1:$W$112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+Vwr/eTrXKNI1RxhDYio4cKBrXVOQjYJ1pHNZveYJQ="/>
    </ext>
  </extLst>
</workbook>
</file>

<file path=xl/calcChain.xml><?xml version="1.0" encoding="utf-8"?>
<calcChain xmlns="http://schemas.openxmlformats.org/spreadsheetml/2006/main">
  <c r="Z38" i="1" l="1"/>
  <c r="AB38" i="1" s="1"/>
  <c r="P38" i="1"/>
  <c r="K38" i="1"/>
  <c r="P37" i="1"/>
  <c r="K37" i="1"/>
  <c r="AA43" i="1"/>
  <c r="AA41" i="1"/>
  <c r="AB41" i="1" s="1"/>
  <c r="V43" i="1"/>
  <c r="K39" i="1"/>
  <c r="P39" i="1"/>
  <c r="R39" i="1" s="1"/>
  <c r="U39" i="1"/>
  <c r="W39" i="1" s="1"/>
  <c r="AA17" i="1"/>
  <c r="Z46" i="1"/>
  <c r="AB46" i="1" s="1"/>
  <c r="Z45" i="1"/>
  <c r="AB45" i="1" s="1"/>
  <c r="Z44" i="1"/>
  <c r="AB44" i="1" s="1"/>
  <c r="Z43" i="1"/>
  <c r="AB42" i="1"/>
  <c r="Z42" i="1"/>
  <c r="Z41" i="1"/>
  <c r="Z40" i="1"/>
  <c r="AB40" i="1" s="1"/>
  <c r="Z39" i="1"/>
  <c r="AB39" i="1" s="1"/>
  <c r="Z37" i="1"/>
  <c r="AB37" i="1" s="1"/>
  <c r="Z12" i="1"/>
  <c r="U46" i="1"/>
  <c r="W46" i="1" s="1"/>
  <c r="U45" i="1"/>
  <c r="W45" i="1" s="1"/>
  <c r="U44" i="1"/>
  <c r="W44" i="1" s="1"/>
  <c r="U43" i="1"/>
  <c r="U42" i="1"/>
  <c r="W42" i="1" s="1"/>
  <c r="U41" i="1"/>
  <c r="U40" i="1"/>
  <c r="W40" i="1" s="1"/>
  <c r="U38" i="1"/>
  <c r="W38" i="1" s="1"/>
  <c r="U37" i="1"/>
  <c r="W37" i="1" s="1"/>
  <c r="P46" i="1"/>
  <c r="R46" i="1" s="1"/>
  <c r="P45" i="1"/>
  <c r="R45" i="1" s="1"/>
  <c r="P44" i="1"/>
  <c r="R44" i="1" s="1"/>
  <c r="P43" i="1"/>
  <c r="P42" i="1"/>
  <c r="R42" i="1" s="1"/>
  <c r="P41" i="1"/>
  <c r="P40" i="1"/>
  <c r="R40" i="1" s="1"/>
  <c r="R38" i="1"/>
  <c r="R37" i="1"/>
  <c r="K46" i="1"/>
  <c r="K45" i="1"/>
  <c r="K44" i="1"/>
  <c r="K43" i="1"/>
  <c r="K42" i="1"/>
  <c r="K41" i="1"/>
  <c r="K40" i="1"/>
  <c r="AA15" i="1"/>
  <c r="V17" i="1"/>
  <c r="AB43" i="1" l="1"/>
  <c r="R41" i="1"/>
  <c r="R43" i="1"/>
  <c r="W41" i="1"/>
  <c r="W43" i="1"/>
  <c r="U12" i="1"/>
  <c r="I88" i="1"/>
  <c r="I83" i="1" l="1"/>
  <c r="I82" i="1"/>
  <c r="I78" i="1"/>
  <c r="I75" i="1"/>
  <c r="I76" i="1"/>
  <c r="P12" i="1"/>
  <c r="R12" i="1" s="1"/>
  <c r="Z11" i="1"/>
  <c r="AB11" i="1" s="1"/>
  <c r="U11" i="1"/>
  <c r="W11" i="1" s="1"/>
  <c r="P11" i="1"/>
  <c r="R11" i="1" s="1"/>
  <c r="K11" i="1"/>
  <c r="M11" i="1" s="1"/>
  <c r="Z20" i="1"/>
  <c r="AB20" i="1" s="1"/>
  <c r="Z19" i="1"/>
  <c r="AB19" i="1" s="1"/>
  <c r="Z18" i="1"/>
  <c r="AB18" i="1" s="1"/>
  <c r="Z17" i="1"/>
  <c r="AB17" i="1" s="1"/>
  <c r="Z16" i="1"/>
  <c r="AB16" i="1" s="1"/>
  <c r="Z15" i="1"/>
  <c r="AB15" i="1" s="1"/>
  <c r="Z14" i="1"/>
  <c r="AB14" i="1" s="1"/>
  <c r="Z13" i="1"/>
  <c r="AB13" i="1" s="1"/>
  <c r="AB12" i="1"/>
  <c r="U20" i="1"/>
  <c r="W20" i="1" s="1"/>
  <c r="U19" i="1"/>
  <c r="W19" i="1" s="1"/>
  <c r="U18" i="1"/>
  <c r="W18" i="1" s="1"/>
  <c r="U17" i="1"/>
  <c r="W17" i="1" s="1"/>
  <c r="U16" i="1"/>
  <c r="W16" i="1" s="1"/>
  <c r="U15" i="1"/>
  <c r="W15" i="1" s="1"/>
  <c r="U14" i="1"/>
  <c r="W14" i="1" s="1"/>
  <c r="U13" i="1"/>
  <c r="W13" i="1" s="1"/>
  <c r="W12" i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M42" i="1"/>
  <c r="M37" i="1"/>
  <c r="M46" i="1"/>
  <c r="M45" i="1"/>
  <c r="M40" i="1"/>
  <c r="M44" i="1"/>
  <c r="M39" i="1"/>
  <c r="M38" i="1"/>
  <c r="H96" i="1"/>
  <c r="I80" i="1"/>
  <c r="I81" i="1"/>
  <c r="I84" i="1"/>
  <c r="I85" i="1"/>
  <c r="I87" i="1"/>
  <c r="G89" i="1"/>
  <c r="G83" i="1"/>
  <c r="I86" i="1" s="1"/>
  <c r="G76" i="1"/>
  <c r="I79" i="1" s="1"/>
  <c r="G74" i="1"/>
  <c r="I77" i="1" s="1"/>
  <c r="P21" i="1" l="1"/>
  <c r="R21" i="1" s="1"/>
  <c r="Z48" i="1"/>
  <c r="AB48" i="1" s="1"/>
  <c r="Z47" i="1"/>
  <c r="AB47" i="1" s="1"/>
  <c r="AB49" i="1" s="1"/>
  <c r="Z21" i="1"/>
  <c r="AB21" i="1" s="1"/>
  <c r="K22" i="1"/>
  <c r="M22" i="1" s="1"/>
  <c r="U48" i="1"/>
  <c r="W48" i="1" s="1"/>
  <c r="P48" i="1"/>
  <c r="R48" i="1" s="1"/>
  <c r="K48" i="1"/>
  <c r="Z22" i="1"/>
  <c r="AB22" i="1" s="1"/>
  <c r="U47" i="1"/>
  <c r="W47" i="1" s="1"/>
  <c r="W49" i="1" s="1"/>
  <c r="P47" i="1"/>
  <c r="R47" i="1" s="1"/>
  <c r="R49" i="1" s="1"/>
  <c r="K47" i="1"/>
  <c r="M47" i="1" s="1"/>
  <c r="U22" i="1"/>
  <c r="W22" i="1" s="1"/>
  <c r="P22" i="1"/>
  <c r="R22" i="1" s="1"/>
  <c r="R23" i="1" s="1"/>
  <c r="R25" i="1" s="1"/>
  <c r="K21" i="1"/>
  <c r="M21" i="1" s="1"/>
  <c r="M23" i="1" s="1"/>
  <c r="U21" i="1"/>
  <c r="W21" i="1" s="1"/>
  <c r="AB23" i="1"/>
  <c r="AB25" i="1" s="1"/>
  <c r="W23" i="1"/>
  <c r="W24" i="1" s="1"/>
  <c r="M48" i="1"/>
  <c r="M41" i="1"/>
  <c r="M43" i="1"/>
  <c r="I89" i="1"/>
  <c r="AB51" i="1" l="1"/>
  <c r="AB50" i="1"/>
  <c r="AB52" i="1" s="1"/>
  <c r="R51" i="1"/>
  <c r="R50" i="1"/>
  <c r="W51" i="1"/>
  <c r="W50" i="1"/>
  <c r="AB24" i="1"/>
  <c r="AB26" i="1" s="1"/>
  <c r="W25" i="1"/>
  <c r="W26" i="1" s="1"/>
  <c r="R24" i="1"/>
  <c r="R26" i="1" s="1"/>
  <c r="M49" i="1"/>
  <c r="M51" i="1" s="1"/>
  <c r="M24" i="1"/>
  <c r="M25" i="1"/>
  <c r="R52" i="1" l="1"/>
  <c r="W52" i="1"/>
  <c r="M50" i="1"/>
  <c r="M52" i="1" s="1"/>
  <c r="M26" i="1"/>
</calcChain>
</file>

<file path=xl/sharedStrings.xml><?xml version="1.0" encoding="utf-8"?>
<sst xmlns="http://schemas.openxmlformats.org/spreadsheetml/2006/main" count="469" uniqueCount="215">
  <si>
    <t>Categoría</t>
  </si>
  <si>
    <t>SAP</t>
  </si>
  <si>
    <t>Marca</t>
  </si>
  <si>
    <t>Modelo</t>
  </si>
  <si>
    <t>Descripcion</t>
  </si>
  <si>
    <t>Precio (neto)</t>
  </si>
  <si>
    <t>Paneles Solares</t>
  </si>
  <si>
    <t>Trina Solar</t>
  </si>
  <si>
    <t>TSM NEG19RC.20 610Wp</t>
  </si>
  <si>
    <t>Panel solar bifacial Trina Solar 610Wp</t>
  </si>
  <si>
    <t>TSM NEG19RC.20 605Wp</t>
  </si>
  <si>
    <t>Panel solar bifacial Trina Solar 605Wp</t>
  </si>
  <si>
    <t>TSM NEG21C.20 705Wp</t>
  </si>
  <si>
    <t>Panel solar bifacial Trina Solar 705Wp</t>
  </si>
  <si>
    <t>TSM NEG21C.20 700Wp</t>
  </si>
  <si>
    <t>Panel solar bifacial Trina Solar 700Wp</t>
  </si>
  <si>
    <t>TSM NEG21C.20 715Wp</t>
  </si>
  <si>
    <t>Panel Bifacial Trina Solar 715Wp</t>
  </si>
  <si>
    <t>JA Solar</t>
  </si>
  <si>
    <t>JAM66D45LB 615Wp</t>
  </si>
  <si>
    <t>Panel Solar Bifacial JA Solar 615Wp</t>
  </si>
  <si>
    <t>JAM66D45LB 715Wp</t>
  </si>
  <si>
    <t>Panel Solar Bifacial JA Solar 715Wp</t>
  </si>
  <si>
    <t>Conector MC4</t>
  </si>
  <si>
    <t>MC4 Trina Solar Macho</t>
  </si>
  <si>
    <t>Conector MC4 macho original Trina Solar</t>
  </si>
  <si>
    <t>MC4 Trina Solar Hembra</t>
  </si>
  <si>
    <t>Conector MC4 hembra original Trina Solar</t>
  </si>
  <si>
    <t>Inversores</t>
  </si>
  <si>
    <t>GoodWe</t>
  </si>
  <si>
    <t>Activation Code to: GW....-ES-20 
[Híbrido FLEX]</t>
  </si>
  <si>
    <r>
      <rPr>
        <sz val="11"/>
        <color theme="1"/>
        <rFont val="Aptos Narrow"/>
        <family val="2"/>
      </rPr>
      <t xml:space="preserve">GoodWe licencia activación SERIE </t>
    </r>
    <r>
      <rPr>
        <b/>
        <sz val="11"/>
        <color theme="1"/>
        <rFont val="Aptos Narrow"/>
        <family val="2"/>
      </rPr>
      <t>ES- 20</t>
    </r>
  </si>
  <si>
    <t>Activation Code to: GW....-ET-20
[Híbrido FLEX]</t>
  </si>
  <si>
    <r>
      <rPr>
        <sz val="11"/>
        <color theme="1"/>
        <rFont val="Aptos Narrow"/>
        <family val="2"/>
      </rPr>
      <t xml:space="preserve">GoodWe licencia activación SERIE </t>
    </r>
    <r>
      <rPr>
        <b/>
        <sz val="11"/>
        <color theme="1"/>
        <rFont val="Aptos Narrow"/>
        <family val="2"/>
      </rPr>
      <t xml:space="preserve">ET-20 </t>
    </r>
  </si>
  <si>
    <t>Activation Code to: GW....-ET[Híbrido FLEX]</t>
  </si>
  <si>
    <r>
      <rPr>
        <sz val="11"/>
        <color theme="1"/>
        <rFont val="Aptos Narrow"/>
        <family val="2"/>
      </rPr>
      <t xml:space="preserve">GoodWe licencia activación SERIE </t>
    </r>
    <r>
      <rPr>
        <b/>
        <sz val="11"/>
        <color theme="1"/>
        <rFont val="Aptos Narrow"/>
        <family val="2"/>
      </rPr>
      <t>ET</t>
    </r>
  </si>
  <si>
    <t>STS200-80-10</t>
  </si>
  <si>
    <t>GoodWe Equipo Transferencia Estatica 200A</t>
  </si>
  <si>
    <t>GW125K-STS-G10</t>
  </si>
  <si>
    <t>GoodWe Equipo Transferencia Estatica 125kW</t>
  </si>
  <si>
    <t>GW3000-DNS-30</t>
  </si>
  <si>
    <t xml:space="preserve">Inversor On Grid Monofásico GoodWe 3kW – 2 MPPT </t>
  </si>
  <si>
    <t>GW4200-DNS-30</t>
  </si>
  <si>
    <t>Inversor On Grid Monofásico GoodWe 4.2kW – 2 MPPT</t>
  </si>
  <si>
    <t>GW5000-DNS-30</t>
  </si>
  <si>
    <t>Inversor On Grid Monofásico GoodWe 5kW – 2 MPPT</t>
  </si>
  <si>
    <t>GW6000-MS-30</t>
  </si>
  <si>
    <t>Inversor On Grid Monofásico GoodWe 6kW – 3 MPPT</t>
  </si>
  <si>
    <t>GW8500-MS-30</t>
  </si>
  <si>
    <t>Inversor On Grid Monofásico GoodWe 8.5kW – 3 MPPT</t>
  </si>
  <si>
    <t>GW10K-MS-30</t>
  </si>
  <si>
    <t>Inversor On Grid Monofásico GoodWe 10kW – 3 MPPT</t>
  </si>
  <si>
    <t>GW12K-SDT-30</t>
  </si>
  <si>
    <t>Inversor On Grid Trifásico GoodWe 12kW – 2 MPPT</t>
  </si>
  <si>
    <t>GW25K-SDT-C30</t>
  </si>
  <si>
    <t>Inversor On Grid Trifásico GoodWe 25kW – 3 MPPT</t>
  </si>
  <si>
    <t>GW50KS-MT</t>
  </si>
  <si>
    <t>Inversor On Grid Trifásico GoodWe 50kW –  5 MPPT</t>
  </si>
  <si>
    <t>GW50K-SDT-C30</t>
  </si>
  <si>
    <t>GW100K-GT</t>
  </si>
  <si>
    <t>Inversor On Grid Trifásico GoodWe 100kW – 8 MPPT</t>
  </si>
  <si>
    <t>GW125K-GT</t>
  </si>
  <si>
    <t>Inversor On Grid Trifásico GoodWe 125kW – 8 MPPT</t>
  </si>
  <si>
    <t>GW15K-ET-20</t>
  </si>
  <si>
    <t>Inversor Híbrido Trifásico GoodWe 15kW Híbrido – 3 MPPT</t>
  </si>
  <si>
    <t>GW3000-ES-20</t>
  </si>
  <si>
    <t>Inversor Híbrido Monofásico GoodWe 3kW Híbrido – 2 MPPT</t>
  </si>
  <si>
    <t>GW3600-ES-20</t>
  </si>
  <si>
    <t>Inversor Híbrido Monofásico GoodWe 3,6kW Híbrido – 2 MPPT</t>
  </si>
  <si>
    <t>GW5000-ES-20</t>
  </si>
  <si>
    <t>Inversor Híbrido Monofásico GoodWe 5kW Híbrido – 2 MPPT</t>
  </si>
  <si>
    <t>GW6000-ES-20</t>
  </si>
  <si>
    <t>Inversor Híbrido Monofásico GoodWe 6kW Híbrido – 2 MPPT</t>
  </si>
  <si>
    <t>GW8000-ES-C10</t>
  </si>
  <si>
    <t>Inversor Híbrido Monofásico GoodWe 8kW Híbrido – 2 MPPT</t>
  </si>
  <si>
    <t>GW10K-ES-C10</t>
  </si>
  <si>
    <t>Inversor Híbrido Monofásico GoodWe 10kW Híbrido – 2 MPPT</t>
  </si>
  <si>
    <t>GW12K-ES-C10</t>
  </si>
  <si>
    <t>Inversor Híbrido Monofásico GoodWe 12kW Híbrido – 2 MPPT</t>
  </si>
  <si>
    <t>GW3000-ES-20  Híbrido FLEX</t>
  </si>
  <si>
    <t>Inversor Híbrido Monofásico GoodWe 3kW Híbrido FLEX – 2 MPPT</t>
  </si>
  <si>
    <t>GW5000-ES-20  Híbrido FLEX</t>
  </si>
  <si>
    <t>Inversor Híbrido Monofásico GoodWe 5kW Híbrido FLEX – 2 MPPT</t>
  </si>
  <si>
    <t>GW6000-ES-20  Híbrido FLEX</t>
  </si>
  <si>
    <t>Inversor Híbrido Monofásico GoodWe 6kW Híbrido FLEX – 2 MPPT</t>
  </si>
  <si>
    <t>GW10K-ET-20  Híbrido FLEX</t>
  </si>
  <si>
    <t>Inversor Híbrido Trifásico GoodWe 10kW Híbrido FLEX – 3 MPPT</t>
  </si>
  <si>
    <t>GW12K-ET-20  Híbrido FLEX</t>
  </si>
  <si>
    <t>Inversor Híbrido Trifásico GoodWe 12kW Híbrido FLEX – 3 MPPT</t>
  </si>
  <si>
    <t>GW15K-ET-20  Híbrido FLEX</t>
  </si>
  <si>
    <t>Inversor Híbrido Trifásico GoodWe 15kW Híbrido FLEX – 3 MPPT</t>
  </si>
  <si>
    <t>GW20K-ET  Híbrido FLEX</t>
  </si>
  <si>
    <t>Inversor Híbrido Trifásico GoodWe 20kW Híbrido FLEX – 3 MPPT</t>
  </si>
  <si>
    <t>GW25K-ET  Híbrido FLEX</t>
  </si>
  <si>
    <t>Inversor Híbrido Trifásico GoodWe 25kW Híbrido FLEX – 3 MPPT</t>
  </si>
  <si>
    <t>GW30K-ET  Híbrido FLEX</t>
  </si>
  <si>
    <t>Inversor Híbrido Trifásico GoodWe 30kW Híbrido FLEX – 3 MPPT</t>
  </si>
  <si>
    <t>GW40K-ET-10 Híbrido</t>
  </si>
  <si>
    <t>Inversor Híbrido Trifásico GoodWe 50kW Híbrido – 4 MPPT</t>
  </si>
  <si>
    <t>GW50K-ET-10 Híbrido</t>
  </si>
  <si>
    <t>GW80K-ET-G10</t>
  </si>
  <si>
    <t>Inversor Híbrido Trifásico GoodWe 80kW Híbrido – 4 MPPT</t>
  </si>
  <si>
    <t>GW100K-ET-G10</t>
  </si>
  <si>
    <t>Inversor Híbrido Trifásico GoodWe 100kW Híbrido – 4 MPPT</t>
  </si>
  <si>
    <t xml:space="preserve">LX U5.0-30 (with fire
suppression) </t>
  </si>
  <si>
    <t>GoodWe batería Lynx U 5kWh c/ supresión(EXTERIOR)</t>
  </si>
  <si>
    <t>LX A5.0-30 w/ Wall-Mounted Accessory Pack</t>
  </si>
  <si>
    <t>GoodWe batería Lynx A 5kWh mural(INTERIOR)</t>
  </si>
  <si>
    <t>LX A5.0-30 [New appearence]
w/ Floor-Mounted Accessory</t>
  </si>
  <si>
    <t>GoodWe batería Lynx A 5kWh suelo(INTERIOR c/Rack)</t>
  </si>
  <si>
    <t xml:space="preserve">GW14.3-BAT-LV-G10
[with aerosol]
</t>
  </si>
  <si>
    <t>Batería LV 14,3kWh - 51V(Interior)</t>
  </si>
  <si>
    <t>LX D5.0-10</t>
  </si>
  <si>
    <t>GoodWe batería Lynx D 5kWh HV</t>
  </si>
  <si>
    <t>Soporte Batería LynxD Muro</t>
  </si>
  <si>
    <t>GoodWe soporte mural Lynx D</t>
  </si>
  <si>
    <t>Soporte Batería LynxD Piso</t>
  </si>
  <si>
    <t>GoodWe soporte piso Lynx D</t>
  </si>
  <si>
    <t>GW5.1-BAT-I-G10
with aerosol</t>
  </si>
  <si>
    <t>Bateria GoodWe HV 51kWh IP22</t>
  </si>
  <si>
    <t>GW61.4-BAT-AC-G10</t>
  </si>
  <si>
    <t>Batería GoodWe HV  61,4kWh IP55</t>
  </si>
  <si>
    <t>GW102.4-BAT-AC-G10</t>
  </si>
  <si>
    <t>GoodWe batería 102kWh- Crate 1.1</t>
  </si>
  <si>
    <t>BCB-11-WW-0</t>
  </si>
  <si>
    <t>BUSBAR 360A</t>
  </si>
  <si>
    <t>BCB-22-WW-0</t>
  </si>
  <si>
    <t>BUSBAR 720a</t>
  </si>
  <si>
    <t>Comunicación Y Smart Controller</t>
  </si>
  <si>
    <t>GW7K-HCA-20 [w/ 6m power cable]</t>
  </si>
  <si>
    <t>Cargador VE GoodWe 32A Monofásico</t>
  </si>
  <si>
    <t>SEC3000C</t>
  </si>
  <si>
    <t xml:space="preserve">Smart Meter </t>
  </si>
  <si>
    <t>EZ_Link: (Dongle for ES G2 &amp; ES Uniq parallel)</t>
  </si>
  <si>
    <t>Dongle de comunicación para conexión en paralelo inversores ES G2 &amp; ES Uniq</t>
  </si>
  <si>
    <t>GoodWe GM330</t>
  </si>
  <si>
    <t>Medidor inteligente trifásico GoodWe GM330</t>
  </si>
  <si>
    <t>GoodWe GMK110</t>
  </si>
  <si>
    <t>Medidor inteligente monofásico GoodWe GMK110</t>
  </si>
  <si>
    <t>4G Module</t>
  </si>
  <si>
    <t>Módulo de comunicación 4G para monitoreo remoto GoodWe</t>
  </si>
  <si>
    <t>Racking</t>
  </si>
  <si>
    <t>Prodalam</t>
  </si>
  <si>
    <t>Fijacion Techo Emballetado</t>
  </si>
  <si>
    <t>Conector Riel PV4/Emballetado</t>
  </si>
  <si>
    <t>Fijación Tipo L Madera</t>
  </si>
  <si>
    <t>Anclaje Teja tipo Z</t>
  </si>
  <si>
    <t>Teja Chilena Tirafondo</t>
  </si>
  <si>
    <t>Pata Delantera Base Ajustable</t>
  </si>
  <si>
    <t>Pata Trasera 10° to 20° Ajustable</t>
  </si>
  <si>
    <t>Pata Trasera 15° to 30° Ajustable</t>
  </si>
  <si>
    <t>Pata Trasera  25° to 40° Ajustable</t>
  </si>
  <si>
    <t>Triangulo 15° Al Soporte (incluye clamps riel)</t>
  </si>
  <si>
    <t>Triangulo 24° Al Soporte (incluye clamps riel)</t>
  </si>
  <si>
    <t>Fijacion PV4</t>
  </si>
  <si>
    <t>Clamp Final 30mm - 35mm</t>
  </si>
  <si>
    <t>Clamp Medio 30mm - 35mm</t>
  </si>
  <si>
    <t>Anclaje Puesta a Tierra Cobre</t>
  </si>
  <si>
    <t>Riel Aluminio 5000mm(reforzado)</t>
  </si>
  <si>
    <t>Anclaje Base ajustable a PV4 o Emballetado</t>
  </si>
  <si>
    <t>Clamp Riel</t>
  </si>
  <si>
    <t>Copla Riel Reforzado</t>
  </si>
  <si>
    <t>Monopilar panel 2,3m*1,1m</t>
  </si>
  <si>
    <t>Monopilar panel 2,4m*1,34m</t>
  </si>
  <si>
    <t>Biposte 2x6( panel de 2,3x1,1)</t>
  </si>
  <si>
    <t>Biposte 2x6( panel de 2,4x1,3)</t>
  </si>
  <si>
    <t>Rail Connector LVG15</t>
  </si>
  <si>
    <t>GroundLug for LV-G15</t>
  </si>
  <si>
    <t>Pasillo Técnico Fibra 3 metros</t>
  </si>
  <si>
    <t>End clamp Pasillo Técnico</t>
  </si>
  <si>
    <t>Grapa Tipo C Pasillo Tecnico</t>
  </si>
  <si>
    <t>Riel Pasillo Técnico 375mm</t>
  </si>
  <si>
    <t>Cable Solar</t>
  </si>
  <si>
    <t>PN Cables</t>
  </si>
  <si>
    <t>Rollo Cable Solar 6mm 50m Negro</t>
  </si>
  <si>
    <t>Rollo Cable Solar 6mm 50m Rojo</t>
  </si>
  <si>
    <t>Carrete Cable Solar 6mm 100m Negro</t>
  </si>
  <si>
    <t>Carrete Cable Solar 6mm 100m Rojo</t>
  </si>
  <si>
    <t>Rollo Cable Solar 4mm 50m Negro</t>
  </si>
  <si>
    <t>Rollo Cable Solar 4mm 50m Rojo</t>
  </si>
  <si>
    <t>Carrete Cable Solar 4mm 100m Negro</t>
  </si>
  <si>
    <t>Carrete Cable Solar 4mm 100m Rojo</t>
  </si>
  <si>
    <t>4mmrollonegro250m</t>
  </si>
  <si>
    <t>4mmrollorojo250m</t>
  </si>
  <si>
    <t>6mmrollonegro200m</t>
  </si>
  <si>
    <t>6mmrollorojo200m</t>
  </si>
  <si>
    <t>Rollo Negro 6mm x 600m</t>
  </si>
  <si>
    <t>Rollo Rojo 6mm x 600m</t>
  </si>
  <si>
    <t>Cable Baterías 2 AWG (35 mm²)(x metro)</t>
  </si>
  <si>
    <t>Rollo 100m Cable Verde 1x6mm2</t>
  </si>
  <si>
    <t>Inversor 3kW hibrido</t>
  </si>
  <si>
    <t>Bateria 5kWh</t>
  </si>
  <si>
    <t>Riel 5m</t>
  </si>
  <si>
    <t>Clams final</t>
  </si>
  <si>
    <t>Clams medio</t>
  </si>
  <si>
    <t>MC4 macho</t>
  </si>
  <si>
    <t>MC4 hembra</t>
  </si>
  <si>
    <t>Cable solar rojo 6mm</t>
  </si>
  <si>
    <t>Cable solar negro 6mm</t>
  </si>
  <si>
    <t>unidad</t>
  </si>
  <si>
    <t>total</t>
  </si>
  <si>
    <t>neto</t>
  </si>
  <si>
    <t>iva incluido</t>
  </si>
  <si>
    <t>margen 30%</t>
  </si>
  <si>
    <t xml:space="preserve">Total </t>
  </si>
  <si>
    <t>modulos 715W</t>
  </si>
  <si>
    <t>Inversor 5kW hibrido</t>
  </si>
  <si>
    <t>Kit 3kW hibrido 5kWh</t>
  </si>
  <si>
    <t>Kit 5kW hibrido 5kWh</t>
  </si>
  <si>
    <t>Kit 8kW hibrido 10kWh</t>
  </si>
  <si>
    <t>Kit 10kW hibrido 10kWh</t>
  </si>
  <si>
    <t xml:space="preserve">Kit 3kW on grid </t>
  </si>
  <si>
    <t>Kit 5kW ON-Grid</t>
  </si>
  <si>
    <t xml:space="preserve">Kit 8,kW On-Grid </t>
  </si>
  <si>
    <t xml:space="preserve">Kit 10kW On-Grid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</si>
</sst>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</font>
    <font>
      <b/>
      <sz val="24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left"/>
    </xf>
    <xf numFmtId="42" fontId="3" fillId="0" borderId="7" xfId="0" applyNumberFormat="1" applyFont="1" applyBorder="1"/>
    <xf numFmtId="0" fontId="3" fillId="0" borderId="9" xfId="0" applyFont="1" applyBorder="1"/>
    <xf numFmtId="0" fontId="3" fillId="0" borderId="10" xfId="0" applyFont="1" applyBorder="1" applyAlignment="1">
      <alignment horizontal="left"/>
    </xf>
    <xf numFmtId="42" fontId="3" fillId="0" borderId="11" xfId="0" applyNumberFormat="1" applyFont="1" applyBorder="1"/>
    <xf numFmtId="0" fontId="6" fillId="0" borderId="0" xfId="0" applyFont="1"/>
    <xf numFmtId="0" fontId="3" fillId="0" borderId="12" xfId="0" applyFont="1" applyBorder="1"/>
    <xf numFmtId="0" fontId="3" fillId="0" borderId="13" xfId="0" applyFont="1" applyBorder="1" applyAlignment="1">
      <alignment horizontal="left"/>
    </xf>
    <xf numFmtId="42" fontId="3" fillId="0" borderId="14" xfId="0" applyNumberFormat="1" applyFont="1" applyBorder="1"/>
    <xf numFmtId="42" fontId="3" fillId="0" borderId="0" xfId="0" applyNumberFormat="1" applyFont="1"/>
    <xf numFmtId="0" fontId="3" fillId="0" borderId="16" xfId="0" applyFont="1" applyBorder="1"/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42" fontId="3" fillId="0" borderId="20" xfId="0" applyNumberFormat="1" applyFont="1" applyBorder="1"/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42" fontId="3" fillId="0" borderId="24" xfId="0" applyNumberFormat="1" applyFont="1" applyBorder="1"/>
    <xf numFmtId="0" fontId="3" fillId="0" borderId="17" xfId="0" applyFont="1" applyBorder="1"/>
    <xf numFmtId="42" fontId="3" fillId="0" borderId="26" xfId="0" applyNumberFormat="1" applyFont="1" applyBorder="1"/>
    <xf numFmtId="0" fontId="3" fillId="0" borderId="10" xfId="0" applyFont="1" applyBorder="1"/>
    <xf numFmtId="0" fontId="3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left"/>
    </xf>
    <xf numFmtId="0" fontId="6" fillId="0" borderId="10" xfId="0" applyFont="1" applyBorder="1"/>
    <xf numFmtId="42" fontId="3" fillId="0" borderId="10" xfId="0" applyNumberFormat="1" applyFont="1" applyBorder="1"/>
    <xf numFmtId="0" fontId="3" fillId="0" borderId="8" xfId="0" applyFont="1" applyBorder="1"/>
    <xf numFmtId="0" fontId="4" fillId="0" borderId="8" xfId="0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42" fontId="3" fillId="0" borderId="30" xfId="0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 wrapText="1"/>
    </xf>
    <xf numFmtId="0" fontId="3" fillId="0" borderId="13" xfId="0" applyFont="1" applyBorder="1"/>
    <xf numFmtId="0" fontId="3" fillId="0" borderId="17" xfId="0" applyFont="1" applyBorder="1" applyAlignment="1">
      <alignment horizontal="left" wrapText="1"/>
    </xf>
    <xf numFmtId="0" fontId="3" fillId="0" borderId="32" xfId="0" applyFont="1" applyBorder="1" applyAlignment="1">
      <alignment horizontal="left"/>
    </xf>
    <xf numFmtId="0" fontId="3" fillId="0" borderId="29" xfId="0" applyFont="1" applyBorder="1"/>
    <xf numFmtId="0" fontId="3" fillId="0" borderId="33" xfId="0" applyFont="1" applyBorder="1" applyAlignment="1">
      <alignment horizontal="left"/>
    </xf>
    <xf numFmtId="0" fontId="3" fillId="0" borderId="36" xfId="0" applyFont="1" applyBorder="1"/>
    <xf numFmtId="0" fontId="3" fillId="0" borderId="39" xfId="0" applyFont="1" applyBorder="1"/>
    <xf numFmtId="0" fontId="2" fillId="0" borderId="0" xfId="0" applyFont="1"/>
    <xf numFmtId="0" fontId="2" fillId="0" borderId="40" xfId="0" applyFont="1" applyBorder="1"/>
    <xf numFmtId="42" fontId="0" fillId="0" borderId="0" xfId="0" applyNumberFormat="1"/>
    <xf numFmtId="42" fontId="0" fillId="0" borderId="40" xfId="0" applyNumberFormat="1" applyBorder="1"/>
    <xf numFmtId="0" fontId="3" fillId="0" borderId="41" xfId="0" applyFont="1" applyBorder="1"/>
    <xf numFmtId="0" fontId="0" fillId="0" borderId="42" xfId="0" applyBorder="1"/>
    <xf numFmtId="42" fontId="8" fillId="0" borderId="43" xfId="0" applyNumberFormat="1" applyFont="1" applyBorder="1"/>
    <xf numFmtId="0" fontId="3" fillId="0" borderId="39" xfId="0" applyFont="1" applyBorder="1" applyAlignment="1">
      <alignment horizontal="left"/>
    </xf>
    <xf numFmtId="42" fontId="2" fillId="0" borderId="40" xfId="0" applyNumberFormat="1" applyFont="1" applyBorder="1"/>
    <xf numFmtId="0" fontId="8" fillId="0" borderId="42" xfId="0" applyFon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5" fillId="0" borderId="2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35" xfId="0" applyFont="1" applyBorder="1"/>
    <xf numFmtId="0" fontId="4" fillId="0" borderId="4" xfId="0" applyFont="1" applyBorder="1" applyAlignment="1">
      <alignment horizontal="center" vertical="center"/>
    </xf>
    <xf numFmtId="0" fontId="5" fillId="0" borderId="8" xfId="0" applyFont="1" applyBorder="1"/>
    <xf numFmtId="0" fontId="4" fillId="0" borderId="15" xfId="0" applyFont="1" applyBorder="1" applyAlignment="1">
      <alignment horizontal="center" vertical="center"/>
    </xf>
    <xf numFmtId="0" fontId="5" fillId="0" borderId="21" xfId="0" applyFont="1" applyBorder="1"/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31" xfId="0" applyFont="1" applyBorder="1"/>
    <xf numFmtId="0" fontId="1" fillId="0" borderId="0" xfId="0" applyFont="1"/>
    <xf numFmtId="0" fontId="0" fillId="0" borderId="0" xfId="0" applyBorder="1"/>
    <xf numFmtId="0" fontId="2" fillId="0" borderId="0" xfId="0" applyFont="1" applyBorder="1"/>
    <xf numFmtId="0" fontId="0" fillId="0" borderId="39" xfId="0" applyBorder="1"/>
    <xf numFmtId="0" fontId="1" fillId="0" borderId="0" xfId="0" applyFont="1" applyBorder="1"/>
    <xf numFmtId="42" fontId="0" fillId="0" borderId="0" xfId="0" applyNumberFormat="1" applyBorder="1"/>
    <xf numFmtId="0" fontId="3" fillId="0" borderId="39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42" fontId="2" fillId="0" borderId="0" xfId="0" applyNumberFormat="1" applyFont="1" applyBorder="1"/>
    <xf numFmtId="0" fontId="8" fillId="0" borderId="0" xfId="0" applyFont="1" applyBorder="1"/>
    <xf numFmtId="42" fontId="8" fillId="0" borderId="0" xfId="0" applyNumberFormat="1" applyFont="1" applyBorder="1"/>
    <xf numFmtId="0" fontId="4" fillId="0" borderId="39" xfId="0" applyFont="1" applyBorder="1" applyAlignment="1">
      <alignment horizontal="center" vertical="center"/>
    </xf>
    <xf numFmtId="42" fontId="9" fillId="4" borderId="36" xfId="0" applyNumberFormat="1" applyFont="1" applyFill="1" applyBorder="1" applyAlignment="1">
      <alignment horizontal="center" vertical="center" wrapText="1"/>
    </xf>
    <xf numFmtId="42" fontId="9" fillId="4" borderId="37" xfId="0" applyNumberFormat="1" applyFont="1" applyFill="1" applyBorder="1" applyAlignment="1">
      <alignment horizontal="center" vertical="center" wrapText="1"/>
    </xf>
    <xf numFmtId="42" fontId="9" fillId="4" borderId="38" xfId="0" applyNumberFormat="1" applyFont="1" applyFill="1" applyBorder="1" applyAlignment="1">
      <alignment horizontal="center" vertical="center" wrapText="1"/>
    </xf>
    <xf numFmtId="42" fontId="10" fillId="4" borderId="36" xfId="0" applyNumberFormat="1" applyFont="1" applyFill="1" applyBorder="1" applyAlignment="1">
      <alignment horizontal="center" vertical="center" wrapText="1"/>
    </xf>
    <xf numFmtId="42" fontId="10" fillId="4" borderId="37" xfId="0" applyNumberFormat="1" applyFont="1" applyFill="1" applyBorder="1" applyAlignment="1">
      <alignment horizontal="center" vertical="center" wrapText="1"/>
    </xf>
    <xf numFmtId="42" fontId="10" fillId="4" borderId="38" xfId="0" applyNumberFormat="1" applyFont="1" applyFill="1" applyBorder="1" applyAlignment="1">
      <alignment horizontal="center" vertical="center" wrapText="1"/>
    </xf>
    <xf numFmtId="42" fontId="9" fillId="4" borderId="39" xfId="0" applyNumberFormat="1" applyFont="1" applyFill="1" applyBorder="1" applyAlignment="1">
      <alignment horizontal="center" vertical="center" wrapText="1"/>
    </xf>
    <xf numFmtId="42" fontId="9" fillId="4" borderId="0" xfId="0" applyNumberFormat="1" applyFont="1" applyFill="1" applyBorder="1" applyAlignment="1">
      <alignment horizontal="center" vertical="center" wrapText="1"/>
    </xf>
    <xf numFmtId="42" fontId="9" fillId="4" borderId="40" xfId="0" applyNumberFormat="1" applyFont="1" applyFill="1" applyBorder="1" applyAlignment="1">
      <alignment horizontal="center" vertical="center" wrapText="1"/>
    </xf>
    <xf numFmtId="42" fontId="10" fillId="4" borderId="39" xfId="0" applyNumberFormat="1" applyFont="1" applyFill="1" applyBorder="1" applyAlignment="1">
      <alignment horizontal="center" vertical="center" wrapText="1"/>
    </xf>
    <xf numFmtId="42" fontId="10" fillId="4" borderId="0" xfId="0" applyNumberFormat="1" applyFont="1" applyFill="1" applyBorder="1" applyAlignment="1">
      <alignment horizontal="center" vertical="center" wrapText="1"/>
    </xf>
    <xf numFmtId="42" fontId="10" fillId="4" borderId="40" xfId="0" applyNumberFormat="1" applyFont="1" applyFill="1" applyBorder="1" applyAlignment="1">
      <alignment horizontal="center" vertical="center" wrapText="1"/>
    </xf>
    <xf numFmtId="42" fontId="9" fillId="4" borderId="41" xfId="0" applyNumberFormat="1" applyFont="1" applyFill="1" applyBorder="1" applyAlignment="1">
      <alignment horizontal="center" vertical="center" wrapText="1"/>
    </xf>
    <xf numFmtId="42" fontId="9" fillId="4" borderId="42" xfId="0" applyNumberFormat="1" applyFont="1" applyFill="1" applyBorder="1" applyAlignment="1">
      <alignment horizontal="center" vertical="center" wrapText="1"/>
    </xf>
    <xf numFmtId="42" fontId="9" fillId="4" borderId="43" xfId="0" applyNumberFormat="1" applyFont="1" applyFill="1" applyBorder="1" applyAlignment="1">
      <alignment horizontal="center" vertical="center" wrapText="1"/>
    </xf>
    <xf numFmtId="42" fontId="10" fillId="4" borderId="41" xfId="0" applyNumberFormat="1" applyFont="1" applyFill="1" applyBorder="1" applyAlignment="1">
      <alignment horizontal="center" vertical="center" wrapText="1"/>
    </xf>
    <xf numFmtId="42" fontId="10" fillId="4" borderId="42" xfId="0" applyNumberFormat="1" applyFont="1" applyFill="1" applyBorder="1" applyAlignment="1">
      <alignment horizontal="center" vertical="center" wrapText="1"/>
    </xf>
    <xf numFmtId="42" fontId="10" fillId="4" borderId="43" xfId="0" applyNumberFormat="1" applyFont="1" applyFill="1" applyBorder="1" applyAlignment="1">
      <alignment horizontal="center" vertical="center" wrapText="1"/>
    </xf>
    <xf numFmtId="42" fontId="9" fillId="3" borderId="36" xfId="0" applyNumberFormat="1" applyFont="1" applyFill="1" applyBorder="1" applyAlignment="1">
      <alignment horizontal="center" vertical="center" wrapText="1"/>
    </xf>
    <xf numFmtId="42" fontId="9" fillId="3" borderId="37" xfId="0" applyNumberFormat="1" applyFont="1" applyFill="1" applyBorder="1" applyAlignment="1">
      <alignment horizontal="center" vertical="center" wrapText="1"/>
    </xf>
    <xf numFmtId="42" fontId="9" fillId="3" borderId="38" xfId="0" applyNumberFormat="1" applyFont="1" applyFill="1" applyBorder="1" applyAlignment="1">
      <alignment horizontal="center" vertical="center" wrapText="1"/>
    </xf>
    <xf numFmtId="42" fontId="9" fillId="3" borderId="39" xfId="0" applyNumberFormat="1" applyFont="1" applyFill="1" applyBorder="1" applyAlignment="1">
      <alignment horizontal="center" vertical="center" wrapText="1"/>
    </xf>
    <xf numFmtId="42" fontId="9" fillId="3" borderId="0" xfId="0" applyNumberFormat="1" applyFont="1" applyFill="1" applyBorder="1" applyAlignment="1">
      <alignment horizontal="center" vertical="center" wrapText="1"/>
    </xf>
    <xf numFmtId="42" fontId="9" fillId="3" borderId="40" xfId="0" applyNumberFormat="1" applyFont="1" applyFill="1" applyBorder="1" applyAlignment="1">
      <alignment horizontal="center" vertical="center" wrapText="1"/>
    </xf>
    <xf numFmtId="42" fontId="9" fillId="3" borderId="41" xfId="0" applyNumberFormat="1" applyFont="1" applyFill="1" applyBorder="1" applyAlignment="1">
      <alignment horizontal="center" vertical="center" wrapText="1"/>
    </xf>
    <xf numFmtId="42" fontId="9" fillId="3" borderId="42" xfId="0" applyNumberFormat="1" applyFont="1" applyFill="1" applyBorder="1" applyAlignment="1">
      <alignment horizontal="center" vertical="center" wrapText="1"/>
    </xf>
    <xf numFmtId="42" fontId="9" fillId="3" borderId="43" xfId="0" applyNumberFormat="1" applyFont="1" applyFill="1" applyBorder="1" applyAlignment="1">
      <alignment horizontal="center" vertical="center" wrapText="1"/>
    </xf>
    <xf numFmtId="42" fontId="11" fillId="0" borderId="4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tabSelected="1" zoomScale="70" zoomScaleNormal="70" workbookViewId="0">
      <pane ySplit="1" topLeftCell="A2" activePane="bottomLeft" state="frozen"/>
      <selection pane="bottomLeft" activeCell="X39" sqref="X39"/>
    </sheetView>
  </sheetViews>
  <sheetFormatPr baseColWidth="10" defaultColWidth="12.6640625" defaultRowHeight="15" customHeight="1" x14ac:dyDescent="0.3"/>
  <cols>
    <col min="1" max="1" width="10.88671875" customWidth="1"/>
    <col min="2" max="2" width="17.21875" customWidth="1"/>
    <col min="3" max="3" width="9.109375" customWidth="1"/>
    <col min="4" max="4" width="12.109375" customWidth="1"/>
    <col min="5" max="5" width="49.44140625" customWidth="1"/>
    <col min="6" max="6" width="57.88671875" customWidth="1"/>
    <col min="7" max="7" width="18" customWidth="1"/>
    <col min="8" max="8" width="5.6640625" bestFit="1" customWidth="1"/>
    <col min="9" max="9" width="16.6640625" customWidth="1"/>
    <col min="10" max="10" width="21" bestFit="1" customWidth="1"/>
    <col min="14" max="14" width="18.33203125" customWidth="1"/>
    <col min="15" max="15" width="21" bestFit="1" customWidth="1"/>
    <col min="20" max="20" width="21" bestFit="1" customWidth="1"/>
    <col min="25" max="25" width="21" bestFit="1" customWidth="1"/>
  </cols>
  <sheetData>
    <row r="1" spans="1:28" ht="14.25" customHeight="1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1"/>
      <c r="I1" s="1"/>
    </row>
    <row r="2" spans="1:28" ht="14.25" customHeight="1" x14ac:dyDescent="0.3">
      <c r="A2" s="1"/>
      <c r="B2" s="62" t="s">
        <v>6</v>
      </c>
      <c r="C2" s="5">
        <v>106562</v>
      </c>
      <c r="D2" s="6" t="s">
        <v>7</v>
      </c>
      <c r="E2" s="6" t="s">
        <v>8</v>
      </c>
      <c r="F2" s="6" t="s">
        <v>9</v>
      </c>
      <c r="G2" s="7">
        <v>89820</v>
      </c>
      <c r="H2" s="1"/>
      <c r="I2" s="1"/>
    </row>
    <row r="3" spans="1:28" ht="14.25" customHeight="1" x14ac:dyDescent="0.3">
      <c r="A3" s="1"/>
      <c r="B3" s="63"/>
      <c r="C3" s="8">
        <v>107405</v>
      </c>
      <c r="D3" s="9" t="s">
        <v>7</v>
      </c>
      <c r="E3" s="9" t="s">
        <v>10</v>
      </c>
      <c r="F3" s="9" t="s">
        <v>11</v>
      </c>
      <c r="G3" s="10">
        <v>89340</v>
      </c>
      <c r="H3" s="11"/>
      <c r="I3" s="1"/>
    </row>
    <row r="4" spans="1:28" ht="14.25" customHeight="1" x14ac:dyDescent="0.3">
      <c r="A4" s="1"/>
      <c r="B4" s="63"/>
      <c r="C4" s="8">
        <v>106597</v>
      </c>
      <c r="D4" s="9" t="s">
        <v>7</v>
      </c>
      <c r="E4" s="9" t="s">
        <v>12</v>
      </c>
      <c r="F4" s="9" t="s">
        <v>13</v>
      </c>
      <c r="G4" s="10">
        <v>104358</v>
      </c>
      <c r="H4" s="1"/>
      <c r="I4" s="1"/>
    </row>
    <row r="5" spans="1:28" ht="14.25" customHeight="1" thickBot="1" x14ac:dyDescent="0.35">
      <c r="A5" s="1"/>
      <c r="B5" s="63"/>
      <c r="C5" s="8">
        <v>107404</v>
      </c>
      <c r="D5" s="9" t="s">
        <v>7</v>
      </c>
      <c r="E5" s="9" t="s">
        <v>14</v>
      </c>
      <c r="F5" s="9" t="s">
        <v>15</v>
      </c>
      <c r="G5" s="10">
        <v>105104</v>
      </c>
      <c r="H5" s="1"/>
      <c r="I5" s="1"/>
    </row>
    <row r="6" spans="1:28" ht="14.25" customHeight="1" x14ac:dyDescent="0.3">
      <c r="A6" s="1"/>
      <c r="B6" s="63"/>
      <c r="C6" s="8">
        <v>108404</v>
      </c>
      <c r="D6" s="9" t="s">
        <v>7</v>
      </c>
      <c r="E6" s="9" t="s">
        <v>16</v>
      </c>
      <c r="F6" s="9" t="s">
        <v>17</v>
      </c>
      <c r="G6" s="10">
        <v>105690.95121951219</v>
      </c>
      <c r="H6" s="1"/>
      <c r="I6" s="100" t="s">
        <v>207</v>
      </c>
      <c r="J6" s="101"/>
      <c r="K6" s="101"/>
      <c r="L6" s="101"/>
      <c r="M6" s="102"/>
      <c r="N6" s="100" t="s">
        <v>208</v>
      </c>
      <c r="O6" s="101"/>
      <c r="P6" s="101"/>
      <c r="Q6" s="101"/>
      <c r="R6" s="102"/>
      <c r="S6" s="100" t="s">
        <v>209</v>
      </c>
      <c r="T6" s="101"/>
      <c r="U6" s="101"/>
      <c r="V6" s="101"/>
      <c r="W6" s="102"/>
      <c r="X6" s="100" t="s">
        <v>210</v>
      </c>
      <c r="Y6" s="101"/>
      <c r="Z6" s="101"/>
      <c r="AA6" s="101"/>
      <c r="AB6" s="102"/>
    </row>
    <row r="7" spans="1:28" ht="14.25" customHeight="1" x14ac:dyDescent="0.3">
      <c r="A7" s="1"/>
      <c r="B7" s="63"/>
      <c r="C7" s="8">
        <v>108407</v>
      </c>
      <c r="D7" s="9" t="s">
        <v>18</v>
      </c>
      <c r="E7" s="9" t="s">
        <v>19</v>
      </c>
      <c r="F7" s="9" t="s">
        <v>20</v>
      </c>
      <c r="G7" s="10">
        <v>90909</v>
      </c>
      <c r="H7" s="1"/>
      <c r="I7" s="103"/>
      <c r="J7" s="104"/>
      <c r="K7" s="104"/>
      <c r="L7" s="104"/>
      <c r="M7" s="105"/>
      <c r="N7" s="103"/>
      <c r="O7" s="104"/>
      <c r="P7" s="104"/>
      <c r="Q7" s="104"/>
      <c r="R7" s="105"/>
      <c r="S7" s="103"/>
      <c r="T7" s="104"/>
      <c r="U7" s="104"/>
      <c r="V7" s="104"/>
      <c r="W7" s="105"/>
      <c r="X7" s="103"/>
      <c r="Y7" s="104"/>
      <c r="Z7" s="104"/>
      <c r="AA7" s="104"/>
      <c r="AB7" s="105"/>
    </row>
    <row r="8" spans="1:28" ht="14.25" customHeight="1" thickBot="1" x14ac:dyDescent="0.35">
      <c r="A8" s="1"/>
      <c r="B8" s="63"/>
      <c r="C8" s="12">
        <v>108408</v>
      </c>
      <c r="D8" s="13" t="s">
        <v>18</v>
      </c>
      <c r="E8" s="13" t="s">
        <v>21</v>
      </c>
      <c r="F8" s="13" t="s">
        <v>22</v>
      </c>
      <c r="G8" s="14">
        <v>105690.95121951219</v>
      </c>
      <c r="H8" s="1"/>
      <c r="I8" s="106"/>
      <c r="J8" s="107"/>
      <c r="K8" s="107"/>
      <c r="L8" s="107"/>
      <c r="M8" s="108"/>
      <c r="N8" s="106"/>
      <c r="O8" s="107"/>
      <c r="P8" s="107"/>
      <c r="Q8" s="107"/>
      <c r="R8" s="108"/>
      <c r="S8" s="106"/>
      <c r="T8" s="107"/>
      <c r="U8" s="107"/>
      <c r="V8" s="107"/>
      <c r="W8" s="108"/>
      <c r="X8" s="106"/>
      <c r="Y8" s="107"/>
      <c r="Z8" s="107"/>
      <c r="AA8" s="107"/>
      <c r="AB8" s="108"/>
    </row>
    <row r="9" spans="1:28" ht="14.25" customHeight="1" x14ac:dyDescent="0.3">
      <c r="A9" s="1"/>
      <c r="B9" s="64" t="s">
        <v>23</v>
      </c>
      <c r="C9" s="16">
        <v>106641</v>
      </c>
      <c r="D9" s="17" t="s">
        <v>7</v>
      </c>
      <c r="E9" s="18" t="s">
        <v>24</v>
      </c>
      <c r="F9" s="19" t="s">
        <v>25</v>
      </c>
      <c r="G9" s="20">
        <v>680</v>
      </c>
      <c r="H9" s="1"/>
      <c r="I9" s="44"/>
      <c r="J9" s="56"/>
      <c r="K9" s="56"/>
      <c r="L9" s="56"/>
      <c r="M9" s="57"/>
      <c r="N9" s="44"/>
      <c r="O9" s="56"/>
      <c r="P9" s="56"/>
      <c r="Q9" s="56"/>
      <c r="R9" s="57"/>
      <c r="S9" s="44"/>
      <c r="T9" s="56"/>
      <c r="U9" s="56"/>
      <c r="V9" s="56"/>
      <c r="W9" s="57"/>
      <c r="X9" s="44"/>
      <c r="Y9" s="56"/>
      <c r="Z9" s="56"/>
      <c r="AA9" s="56"/>
      <c r="AB9" s="57"/>
    </row>
    <row r="10" spans="1:28" ht="16.5" customHeight="1" thickBot="1" x14ac:dyDescent="0.35">
      <c r="A10" s="1"/>
      <c r="B10" s="65"/>
      <c r="C10" s="12">
        <v>106642</v>
      </c>
      <c r="D10" s="13" t="s">
        <v>7</v>
      </c>
      <c r="E10" s="21" t="s">
        <v>26</v>
      </c>
      <c r="F10" s="22" t="s">
        <v>27</v>
      </c>
      <c r="G10" s="23">
        <v>680</v>
      </c>
      <c r="H10" s="1"/>
      <c r="I10" s="45"/>
      <c r="L10" s="46" t="s">
        <v>199</v>
      </c>
      <c r="M10" s="47" t="s">
        <v>200</v>
      </c>
      <c r="N10" s="45"/>
      <c r="Q10" s="46" t="s">
        <v>199</v>
      </c>
      <c r="R10" s="47" t="s">
        <v>200</v>
      </c>
      <c r="S10" s="45"/>
      <c r="V10" s="46" t="s">
        <v>199</v>
      </c>
      <c r="W10" s="47" t="s">
        <v>200</v>
      </c>
      <c r="X10" s="45"/>
      <c r="AA10" s="46" t="s">
        <v>199</v>
      </c>
      <c r="AB10" s="47" t="s">
        <v>200</v>
      </c>
    </row>
    <row r="11" spans="1:28" ht="14.25" customHeight="1" x14ac:dyDescent="0.3">
      <c r="A11" s="1"/>
      <c r="B11" s="66" t="s">
        <v>28</v>
      </c>
      <c r="C11" s="24">
        <v>106998</v>
      </c>
      <c r="D11" s="17" t="s">
        <v>29</v>
      </c>
      <c r="E11" s="17" t="s">
        <v>30</v>
      </c>
      <c r="F11" s="17" t="s">
        <v>31</v>
      </c>
      <c r="G11" s="25">
        <v>156800</v>
      </c>
      <c r="H11" s="1"/>
      <c r="I11" s="72" t="s">
        <v>16</v>
      </c>
      <c r="J11" s="73" t="s">
        <v>205</v>
      </c>
      <c r="K11" s="48">
        <f>$G$6</f>
        <v>105690.95121951219</v>
      </c>
      <c r="L11">
        <v>6</v>
      </c>
      <c r="M11" s="49">
        <f>K11*L11</f>
        <v>634145.70731707313</v>
      </c>
      <c r="N11" s="72" t="s">
        <v>16</v>
      </c>
      <c r="O11" s="73" t="s">
        <v>205</v>
      </c>
      <c r="P11" s="48">
        <f>$G$6</f>
        <v>105690.95121951219</v>
      </c>
      <c r="Q11">
        <v>9</v>
      </c>
      <c r="R11" s="49">
        <f>P11*Q11</f>
        <v>951218.5609756097</v>
      </c>
      <c r="S11" s="72" t="s">
        <v>16</v>
      </c>
      <c r="T11" s="73" t="s">
        <v>205</v>
      </c>
      <c r="U11" s="48">
        <f>$G$6</f>
        <v>105690.95121951219</v>
      </c>
      <c r="V11">
        <v>14</v>
      </c>
      <c r="W11" s="49">
        <f>U11*V11</f>
        <v>1479673.3170731708</v>
      </c>
      <c r="X11" s="72" t="s">
        <v>16</v>
      </c>
      <c r="Y11" s="73" t="s">
        <v>205</v>
      </c>
      <c r="Z11" s="48">
        <f>$G$6</f>
        <v>105690.95121951219</v>
      </c>
      <c r="AA11">
        <v>18</v>
      </c>
      <c r="AB11" s="49">
        <f>Z11*AA11</f>
        <v>1902437.1219512194</v>
      </c>
    </row>
    <row r="12" spans="1:28" ht="14.25" customHeight="1" x14ac:dyDescent="0.3">
      <c r="A12" s="1"/>
      <c r="B12" s="59"/>
      <c r="C12" s="26">
        <v>106993</v>
      </c>
      <c r="D12" s="17" t="s">
        <v>29</v>
      </c>
      <c r="E12" s="9" t="s">
        <v>32</v>
      </c>
      <c r="F12" s="9" t="s">
        <v>33</v>
      </c>
      <c r="G12" s="10">
        <v>213458.82352941201</v>
      </c>
      <c r="H12" s="1"/>
      <c r="I12" s="45" t="s">
        <v>65</v>
      </c>
      <c r="J12" s="46" t="s">
        <v>190</v>
      </c>
      <c r="K12" s="48">
        <f>$G$29</f>
        <v>795200</v>
      </c>
      <c r="L12">
        <v>1</v>
      </c>
      <c r="M12" s="49">
        <f t="shared" ref="M12:M22" si="0">K12*L12</f>
        <v>795200</v>
      </c>
      <c r="N12" s="45" t="s">
        <v>69</v>
      </c>
      <c r="O12" s="69" t="s">
        <v>206</v>
      </c>
      <c r="P12" s="48">
        <f>$G$31</f>
        <v>897259.69907407404</v>
      </c>
      <c r="Q12">
        <v>1</v>
      </c>
      <c r="R12" s="49">
        <f t="shared" ref="R12:R22" si="1">P12*Q12</f>
        <v>897259.69907407404</v>
      </c>
      <c r="S12" s="45" t="s">
        <v>65</v>
      </c>
      <c r="T12" s="46" t="s">
        <v>190</v>
      </c>
      <c r="U12" s="48">
        <f>G$33</f>
        <v>1005813</v>
      </c>
      <c r="V12">
        <v>1</v>
      </c>
      <c r="W12" s="49">
        <f t="shared" ref="W12:W22" si="2">U12*V12</f>
        <v>1005813</v>
      </c>
      <c r="X12" s="45" t="s">
        <v>65</v>
      </c>
      <c r="Y12" s="46" t="s">
        <v>190</v>
      </c>
      <c r="Z12" s="48">
        <f>$G$34</f>
        <v>1043625</v>
      </c>
      <c r="AA12">
        <v>1</v>
      </c>
      <c r="AB12" s="49">
        <f t="shared" ref="AB12:AB22" si="3">Z12*AA12</f>
        <v>1043625</v>
      </c>
    </row>
    <row r="13" spans="1:28" ht="14.25" customHeight="1" x14ac:dyDescent="0.3">
      <c r="A13" s="1"/>
      <c r="B13" s="59"/>
      <c r="C13" s="26">
        <v>106992</v>
      </c>
      <c r="D13" s="17" t="s">
        <v>29</v>
      </c>
      <c r="E13" s="27" t="s">
        <v>34</v>
      </c>
      <c r="F13" s="9" t="s">
        <v>35</v>
      </c>
      <c r="G13" s="10">
        <v>322823.52941176499</v>
      </c>
      <c r="H13" s="1"/>
      <c r="I13" s="53" t="s">
        <v>106</v>
      </c>
      <c r="J13" s="46" t="s">
        <v>191</v>
      </c>
      <c r="K13" s="48">
        <f>$G$51</f>
        <v>640000</v>
      </c>
      <c r="L13">
        <v>1</v>
      </c>
      <c r="M13" s="49">
        <f t="shared" si="0"/>
        <v>640000</v>
      </c>
      <c r="N13" s="53" t="s">
        <v>106</v>
      </c>
      <c r="O13" s="46" t="s">
        <v>191</v>
      </c>
      <c r="P13" s="48">
        <f>$G$51</f>
        <v>640000</v>
      </c>
      <c r="Q13">
        <v>1</v>
      </c>
      <c r="R13" s="49">
        <f t="shared" si="1"/>
        <v>640000</v>
      </c>
      <c r="S13" s="53" t="s">
        <v>106</v>
      </c>
      <c r="T13" s="46" t="s">
        <v>191</v>
      </c>
      <c r="U13" s="48">
        <f>$G$51</f>
        <v>640000</v>
      </c>
      <c r="V13">
        <v>2</v>
      </c>
      <c r="W13" s="49">
        <f t="shared" si="2"/>
        <v>1280000</v>
      </c>
      <c r="X13" s="53" t="s">
        <v>106</v>
      </c>
      <c r="Y13" s="46" t="s">
        <v>191</v>
      </c>
      <c r="Z13" s="48">
        <f>$G$51</f>
        <v>640000</v>
      </c>
      <c r="AA13">
        <v>2</v>
      </c>
      <c r="AB13" s="49">
        <f t="shared" si="3"/>
        <v>1280000</v>
      </c>
    </row>
    <row r="14" spans="1:28" ht="14.25" customHeight="1" x14ac:dyDescent="0.3">
      <c r="A14" s="1"/>
      <c r="B14" s="59"/>
      <c r="C14" s="26">
        <v>106942</v>
      </c>
      <c r="D14" s="17" t="s">
        <v>29</v>
      </c>
      <c r="E14" s="9" t="s">
        <v>36</v>
      </c>
      <c r="F14" s="9" t="s">
        <v>37</v>
      </c>
      <c r="G14" s="10">
        <v>914270.55555555562</v>
      </c>
      <c r="H14" s="1"/>
      <c r="I14" s="45"/>
      <c r="J14" s="46" t="s">
        <v>192</v>
      </c>
      <c r="K14" s="48">
        <f>$G$82</f>
        <v>18320</v>
      </c>
      <c r="L14">
        <v>3</v>
      </c>
      <c r="M14" s="49">
        <f t="shared" si="0"/>
        <v>54960</v>
      </c>
      <c r="N14" s="45"/>
      <c r="O14" s="46" t="s">
        <v>192</v>
      </c>
      <c r="P14" s="48">
        <f>$G$82</f>
        <v>18320</v>
      </c>
      <c r="Q14">
        <v>5</v>
      </c>
      <c r="R14" s="49">
        <f t="shared" si="1"/>
        <v>91600</v>
      </c>
      <c r="S14" s="45"/>
      <c r="T14" s="46" t="s">
        <v>192</v>
      </c>
      <c r="U14" s="48">
        <f>$G$82</f>
        <v>18320</v>
      </c>
      <c r="V14">
        <v>7</v>
      </c>
      <c r="W14" s="49">
        <f t="shared" si="2"/>
        <v>128240</v>
      </c>
      <c r="X14" s="45"/>
      <c r="Y14" s="46" t="s">
        <v>192</v>
      </c>
      <c r="Z14" s="48">
        <f>$G$82</f>
        <v>18320</v>
      </c>
      <c r="AA14">
        <v>8</v>
      </c>
      <c r="AB14" s="49">
        <f t="shared" si="3"/>
        <v>146560</v>
      </c>
    </row>
    <row r="15" spans="1:28" ht="14.25" customHeight="1" x14ac:dyDescent="0.3">
      <c r="A15" s="1"/>
      <c r="B15" s="59"/>
      <c r="C15" s="26">
        <v>108053</v>
      </c>
      <c r="D15" s="17" t="s">
        <v>29</v>
      </c>
      <c r="E15" s="9" t="s">
        <v>38</v>
      </c>
      <c r="F15" s="9" t="s">
        <v>39</v>
      </c>
      <c r="G15" s="10">
        <v>1784000</v>
      </c>
      <c r="H15" s="1"/>
      <c r="I15" s="45"/>
      <c r="J15" s="46" t="s">
        <v>145</v>
      </c>
      <c r="K15" s="48">
        <f>$G$69</f>
        <v>1100</v>
      </c>
      <c r="L15">
        <v>10</v>
      </c>
      <c r="M15" s="49">
        <f t="shared" si="0"/>
        <v>11000</v>
      </c>
      <c r="N15" s="45"/>
      <c r="O15" s="46" t="s">
        <v>145</v>
      </c>
      <c r="P15" s="48">
        <f>$G$69</f>
        <v>1100</v>
      </c>
      <c r="Q15">
        <v>16</v>
      </c>
      <c r="R15" s="49">
        <f t="shared" si="1"/>
        <v>17600</v>
      </c>
      <c r="S15" s="45"/>
      <c r="T15" s="46" t="s">
        <v>145</v>
      </c>
      <c r="U15" s="48">
        <f>$G$69</f>
        <v>1100</v>
      </c>
      <c r="V15">
        <v>22</v>
      </c>
      <c r="W15" s="49">
        <f t="shared" si="2"/>
        <v>24200</v>
      </c>
      <c r="X15" s="45"/>
      <c r="Y15" s="46" t="s">
        <v>145</v>
      </c>
      <c r="Z15" s="48">
        <f>$G$69</f>
        <v>1100</v>
      </c>
      <c r="AA15">
        <f>3*AA14</f>
        <v>24</v>
      </c>
      <c r="AB15" s="49">
        <f t="shared" si="3"/>
        <v>26400</v>
      </c>
    </row>
    <row r="16" spans="1:28" ht="14.4" x14ac:dyDescent="0.3">
      <c r="A16" s="1"/>
      <c r="B16" s="59"/>
      <c r="C16" s="26">
        <v>106694</v>
      </c>
      <c r="D16" s="17" t="s">
        <v>29</v>
      </c>
      <c r="E16" s="28" t="s">
        <v>40</v>
      </c>
      <c r="F16" s="26" t="s">
        <v>41</v>
      </c>
      <c r="G16" s="10">
        <v>325389.47368421103</v>
      </c>
      <c r="H16" s="1"/>
      <c r="I16" s="45"/>
      <c r="J16" s="73" t="s">
        <v>161</v>
      </c>
      <c r="K16" s="74">
        <f>$G$85</f>
        <v>2500</v>
      </c>
      <c r="L16" s="70">
        <v>4</v>
      </c>
      <c r="M16" s="49">
        <f>K16*L16</f>
        <v>10000</v>
      </c>
      <c r="N16" s="45"/>
      <c r="O16" s="73" t="s">
        <v>161</v>
      </c>
      <c r="P16" s="74">
        <f>$G$85</f>
        <v>2500</v>
      </c>
      <c r="Q16" s="70">
        <v>4</v>
      </c>
      <c r="R16" s="49">
        <f>P16*Q16</f>
        <v>10000</v>
      </c>
      <c r="S16" s="45"/>
      <c r="T16" s="73" t="s">
        <v>161</v>
      </c>
      <c r="U16" s="74">
        <f>$G$85</f>
        <v>2500</v>
      </c>
      <c r="V16" s="70">
        <v>4</v>
      </c>
      <c r="W16" s="49">
        <f>U16*V16</f>
        <v>10000</v>
      </c>
      <c r="X16" s="45"/>
      <c r="Y16" s="73" t="s">
        <v>161</v>
      </c>
      <c r="Z16" s="74">
        <f>$G$85</f>
        <v>2500</v>
      </c>
      <c r="AA16" s="70">
        <v>4</v>
      </c>
      <c r="AB16" s="49">
        <f>Z16*AA16</f>
        <v>10000</v>
      </c>
    </row>
    <row r="17" spans="1:28" ht="14.25" customHeight="1" x14ac:dyDescent="0.3">
      <c r="A17" s="1"/>
      <c r="B17" s="59"/>
      <c r="C17" s="26">
        <v>106693</v>
      </c>
      <c r="D17" s="17" t="s">
        <v>29</v>
      </c>
      <c r="E17" s="9" t="s">
        <v>42</v>
      </c>
      <c r="F17" s="26" t="s">
        <v>43</v>
      </c>
      <c r="G17" s="10">
        <v>366652.63157894701</v>
      </c>
      <c r="H17" s="1"/>
      <c r="I17" s="45"/>
      <c r="J17" s="46" t="s">
        <v>194</v>
      </c>
      <c r="K17" s="48">
        <f>$G$80</f>
        <v>496</v>
      </c>
      <c r="L17">
        <v>12</v>
      </c>
      <c r="M17" s="49">
        <f t="shared" si="0"/>
        <v>5952</v>
      </c>
      <c r="N17" s="45"/>
      <c r="O17" s="46" t="s">
        <v>194</v>
      </c>
      <c r="P17" s="48">
        <f>$G$80</f>
        <v>496</v>
      </c>
      <c r="Q17">
        <v>12</v>
      </c>
      <c r="R17" s="49">
        <f t="shared" ref="R17:R26" si="4">P17*Q17</f>
        <v>5952</v>
      </c>
      <c r="S17" s="45"/>
      <c r="T17" s="46" t="s">
        <v>194</v>
      </c>
      <c r="U17" s="48">
        <f>$G$80</f>
        <v>496</v>
      </c>
      <c r="V17">
        <f>(2*V11)-2</f>
        <v>26</v>
      </c>
      <c r="W17" s="49">
        <f t="shared" ref="W17:W26" si="5">U17*V17</f>
        <v>12896</v>
      </c>
      <c r="X17" s="45"/>
      <c r="Y17" s="46" t="s">
        <v>194</v>
      </c>
      <c r="Z17" s="48">
        <f>$G$80</f>
        <v>496</v>
      </c>
      <c r="AA17">
        <f>(2*AA11)-4</f>
        <v>32</v>
      </c>
      <c r="AB17" s="49">
        <f t="shared" ref="AB17:AB26" si="6">Z17*AA17</f>
        <v>15872</v>
      </c>
    </row>
    <row r="18" spans="1:28" ht="14.25" customHeight="1" x14ac:dyDescent="0.3">
      <c r="A18" s="1"/>
      <c r="B18" s="59"/>
      <c r="C18" s="26">
        <v>106692</v>
      </c>
      <c r="D18" s="17" t="s">
        <v>29</v>
      </c>
      <c r="E18" s="9" t="s">
        <v>44</v>
      </c>
      <c r="F18" s="26" t="s">
        <v>45</v>
      </c>
      <c r="G18" s="10">
        <v>380800</v>
      </c>
      <c r="H18" s="1"/>
      <c r="I18" s="45"/>
      <c r="J18" s="46" t="s">
        <v>193</v>
      </c>
      <c r="K18" s="48">
        <f>$G$79</f>
        <v>496</v>
      </c>
      <c r="L18">
        <v>4</v>
      </c>
      <c r="M18" s="49">
        <f t="shared" si="0"/>
        <v>1984</v>
      </c>
      <c r="N18" s="45"/>
      <c r="O18" s="46" t="s">
        <v>193</v>
      </c>
      <c r="P18" s="48">
        <f>$G$79</f>
        <v>496</v>
      </c>
      <c r="Q18">
        <v>4</v>
      </c>
      <c r="R18" s="49">
        <f t="shared" si="4"/>
        <v>1984</v>
      </c>
      <c r="S18" s="45"/>
      <c r="T18" s="46" t="s">
        <v>193</v>
      </c>
      <c r="U18" s="48">
        <f>$G$79</f>
        <v>496</v>
      </c>
      <c r="V18">
        <v>8</v>
      </c>
      <c r="W18" s="49">
        <f t="shared" si="5"/>
        <v>3968</v>
      </c>
      <c r="X18" s="45"/>
      <c r="Y18" s="46" t="s">
        <v>193</v>
      </c>
      <c r="Z18" s="48">
        <f>$G$79</f>
        <v>496</v>
      </c>
      <c r="AA18">
        <v>8</v>
      </c>
      <c r="AB18" s="49">
        <f t="shared" si="6"/>
        <v>3968</v>
      </c>
    </row>
    <row r="19" spans="1:28" ht="14.25" customHeight="1" x14ac:dyDescent="0.3">
      <c r="A19" s="1"/>
      <c r="B19" s="59"/>
      <c r="C19" s="26">
        <v>106691</v>
      </c>
      <c r="D19" s="17" t="s">
        <v>29</v>
      </c>
      <c r="E19" s="9" t="s">
        <v>46</v>
      </c>
      <c r="F19" s="26" t="s">
        <v>47</v>
      </c>
      <c r="G19" s="10">
        <v>530526.31578947406</v>
      </c>
      <c r="H19" s="1"/>
      <c r="I19" s="45"/>
      <c r="J19" s="46" t="s">
        <v>195</v>
      </c>
      <c r="K19" s="48">
        <f>$G$9</f>
        <v>680</v>
      </c>
      <c r="L19">
        <v>4</v>
      </c>
      <c r="M19" s="49">
        <f t="shared" si="0"/>
        <v>2720</v>
      </c>
      <c r="N19" s="45"/>
      <c r="O19" s="46" t="s">
        <v>195</v>
      </c>
      <c r="P19" s="48">
        <f>$G$9</f>
        <v>680</v>
      </c>
      <c r="Q19">
        <v>4</v>
      </c>
      <c r="R19" s="49">
        <f t="shared" si="4"/>
        <v>2720</v>
      </c>
      <c r="S19" s="45"/>
      <c r="T19" s="69" t="s">
        <v>195</v>
      </c>
      <c r="U19" s="48">
        <f>$G$9</f>
        <v>680</v>
      </c>
      <c r="V19">
        <v>8</v>
      </c>
      <c r="W19" s="49">
        <f t="shared" si="5"/>
        <v>5440</v>
      </c>
      <c r="X19" s="45"/>
      <c r="Y19" s="46" t="s">
        <v>195</v>
      </c>
      <c r="Z19" s="48">
        <f>$G$9</f>
        <v>680</v>
      </c>
      <c r="AA19">
        <v>8</v>
      </c>
      <c r="AB19" s="49">
        <f t="shared" si="6"/>
        <v>5440</v>
      </c>
    </row>
    <row r="20" spans="1:28" ht="14.25" customHeight="1" x14ac:dyDescent="0.3">
      <c r="A20" s="1"/>
      <c r="B20" s="59"/>
      <c r="C20" s="26">
        <v>106690</v>
      </c>
      <c r="D20" s="17" t="s">
        <v>29</v>
      </c>
      <c r="E20" s="9" t="s">
        <v>48</v>
      </c>
      <c r="F20" s="26" t="s">
        <v>49</v>
      </c>
      <c r="G20" s="10">
        <v>598500</v>
      </c>
      <c r="H20" s="1"/>
      <c r="I20" s="45"/>
      <c r="J20" s="46" t="s">
        <v>196</v>
      </c>
      <c r="K20" s="48">
        <f>$G$10</f>
        <v>680</v>
      </c>
      <c r="L20">
        <v>4</v>
      </c>
      <c r="M20" s="49">
        <f t="shared" si="0"/>
        <v>2720</v>
      </c>
      <c r="N20" s="45"/>
      <c r="O20" s="46" t="s">
        <v>196</v>
      </c>
      <c r="P20" s="48">
        <f>$G$10</f>
        <v>680</v>
      </c>
      <c r="Q20">
        <v>4</v>
      </c>
      <c r="R20" s="49">
        <f t="shared" si="4"/>
        <v>2720</v>
      </c>
      <c r="S20" s="45"/>
      <c r="T20" s="46" t="s">
        <v>196</v>
      </c>
      <c r="U20" s="48">
        <f>$G$10</f>
        <v>680</v>
      </c>
      <c r="V20">
        <v>8</v>
      </c>
      <c r="W20" s="49">
        <f t="shared" si="5"/>
        <v>5440</v>
      </c>
      <c r="X20" s="45"/>
      <c r="Y20" s="46" t="s">
        <v>196</v>
      </c>
      <c r="Z20" s="48">
        <f>$G$10</f>
        <v>680</v>
      </c>
      <c r="AA20">
        <v>8</v>
      </c>
      <c r="AB20" s="49">
        <f t="shared" si="6"/>
        <v>5440</v>
      </c>
    </row>
    <row r="21" spans="1:28" ht="14.25" customHeight="1" x14ac:dyDescent="0.3">
      <c r="A21" s="1"/>
      <c r="B21" s="59"/>
      <c r="C21" s="26">
        <v>106689</v>
      </c>
      <c r="D21" s="17" t="s">
        <v>29</v>
      </c>
      <c r="E21" s="9" t="s">
        <v>50</v>
      </c>
      <c r="F21" s="26" t="s">
        <v>51</v>
      </c>
      <c r="G21" s="10">
        <v>637000</v>
      </c>
      <c r="H21" s="1"/>
      <c r="I21" s="45"/>
      <c r="J21" s="46" t="s">
        <v>197</v>
      </c>
      <c r="K21" s="48">
        <f>$H$96</f>
        <v>947.85</v>
      </c>
      <c r="L21">
        <v>30</v>
      </c>
      <c r="M21" s="49">
        <f t="shared" si="0"/>
        <v>28435.5</v>
      </c>
      <c r="N21" s="45"/>
      <c r="O21" s="46" t="s">
        <v>197</v>
      </c>
      <c r="P21" s="48">
        <f>$H$96</f>
        <v>947.85</v>
      </c>
      <c r="Q21">
        <v>30</v>
      </c>
      <c r="R21" s="49">
        <f t="shared" si="4"/>
        <v>28435.5</v>
      </c>
      <c r="S21" s="45"/>
      <c r="T21" s="46" t="s">
        <v>197</v>
      </c>
      <c r="U21" s="48">
        <f>$H$96</f>
        <v>947.85</v>
      </c>
      <c r="V21">
        <v>30</v>
      </c>
      <c r="W21" s="49">
        <f t="shared" si="5"/>
        <v>28435.5</v>
      </c>
      <c r="X21" s="45"/>
      <c r="Y21" s="46" t="s">
        <v>197</v>
      </c>
      <c r="Z21" s="48">
        <f>$H$96</f>
        <v>947.85</v>
      </c>
      <c r="AA21">
        <v>30</v>
      </c>
      <c r="AB21" s="49">
        <f t="shared" si="6"/>
        <v>28435.5</v>
      </c>
    </row>
    <row r="22" spans="1:28" ht="14.25" customHeight="1" x14ac:dyDescent="0.3">
      <c r="A22" s="1"/>
      <c r="B22" s="59"/>
      <c r="C22" s="26">
        <v>106688</v>
      </c>
      <c r="D22" s="17" t="s">
        <v>29</v>
      </c>
      <c r="E22" s="9" t="s">
        <v>52</v>
      </c>
      <c r="F22" s="26" t="s">
        <v>53</v>
      </c>
      <c r="G22" s="10">
        <v>807130.43478260899</v>
      </c>
      <c r="H22" s="1"/>
      <c r="I22" s="45"/>
      <c r="J22" s="46" t="s">
        <v>198</v>
      </c>
      <c r="K22" s="48">
        <f>H96</f>
        <v>947.85</v>
      </c>
      <c r="L22">
        <v>30</v>
      </c>
      <c r="M22" s="49">
        <f t="shared" si="0"/>
        <v>28435.5</v>
      </c>
      <c r="N22" s="45"/>
      <c r="O22" s="46" t="s">
        <v>198</v>
      </c>
      <c r="P22" s="48">
        <f>$H$96</f>
        <v>947.85</v>
      </c>
      <c r="Q22">
        <v>30</v>
      </c>
      <c r="R22" s="49">
        <f t="shared" si="4"/>
        <v>28435.5</v>
      </c>
      <c r="S22" s="45"/>
      <c r="T22" s="46" t="s">
        <v>198</v>
      </c>
      <c r="U22" s="48">
        <f>$H$96</f>
        <v>947.85</v>
      </c>
      <c r="V22">
        <v>30</v>
      </c>
      <c r="W22" s="49">
        <f t="shared" si="5"/>
        <v>28435.5</v>
      </c>
      <c r="X22" s="45"/>
      <c r="Y22" s="46" t="s">
        <v>198</v>
      </c>
      <c r="Z22" s="48">
        <f>$H$96</f>
        <v>947.85</v>
      </c>
      <c r="AA22">
        <v>30</v>
      </c>
      <c r="AB22" s="49">
        <f t="shared" si="6"/>
        <v>28435.5</v>
      </c>
    </row>
    <row r="23" spans="1:28" ht="14.25" customHeight="1" x14ac:dyDescent="0.3">
      <c r="A23" s="1"/>
      <c r="B23" s="59"/>
      <c r="C23" s="26">
        <v>106687</v>
      </c>
      <c r="D23" s="17" t="s">
        <v>29</v>
      </c>
      <c r="E23" s="9" t="s">
        <v>54</v>
      </c>
      <c r="F23" s="26" t="s">
        <v>55</v>
      </c>
      <c r="G23" s="10">
        <v>1034600</v>
      </c>
      <c r="H23" s="1"/>
      <c r="I23" s="45"/>
      <c r="L23" s="46" t="s">
        <v>201</v>
      </c>
      <c r="M23" s="49">
        <f>SUM(M11:M22)</f>
        <v>2215552.7073170729</v>
      </c>
      <c r="N23" s="45"/>
      <c r="Q23" s="46" t="s">
        <v>201</v>
      </c>
      <c r="R23" s="49">
        <f>SUM(R11:R22)</f>
        <v>2677925.260049684</v>
      </c>
      <c r="S23" s="45"/>
      <c r="V23" s="46" t="s">
        <v>201</v>
      </c>
      <c r="W23" s="49">
        <f>SUM(W11:W22)</f>
        <v>4012541.317073171</v>
      </c>
      <c r="X23" s="45"/>
      <c r="AA23" s="46" t="s">
        <v>201</v>
      </c>
      <c r="AB23" s="49">
        <f>SUM(AB11:AB22)</f>
        <v>4496613.1219512196</v>
      </c>
    </row>
    <row r="24" spans="1:28" ht="14.25" customHeight="1" x14ac:dyDescent="0.3">
      <c r="A24" s="1"/>
      <c r="B24" s="59"/>
      <c r="C24" s="26">
        <v>106686</v>
      </c>
      <c r="D24" s="17" t="s">
        <v>29</v>
      </c>
      <c r="E24" s="9" t="s">
        <v>56</v>
      </c>
      <c r="F24" s="26" t="s">
        <v>57</v>
      </c>
      <c r="G24" s="10">
        <v>1590000</v>
      </c>
      <c r="H24" s="1"/>
      <c r="I24" s="45"/>
      <c r="L24" s="46" t="s">
        <v>202</v>
      </c>
      <c r="M24" s="54">
        <f>M23*1.19</f>
        <v>2636507.7217073166</v>
      </c>
      <c r="N24" s="45"/>
      <c r="Q24" s="46" t="s">
        <v>202</v>
      </c>
      <c r="R24" s="54">
        <f>R23*1.19</f>
        <v>3186731.0594591238</v>
      </c>
      <c r="S24" s="45"/>
      <c r="V24" s="46" t="s">
        <v>202</v>
      </c>
      <c r="W24" s="54">
        <f>W23*1.19</f>
        <v>4774924.1673170729</v>
      </c>
      <c r="X24" s="45"/>
      <c r="AA24" s="46" t="s">
        <v>202</v>
      </c>
      <c r="AB24" s="54">
        <f>AB23*1.19</f>
        <v>5350969.6151219513</v>
      </c>
    </row>
    <row r="25" spans="1:28" ht="14.25" customHeight="1" x14ac:dyDescent="0.3">
      <c r="A25" s="1"/>
      <c r="B25" s="59"/>
      <c r="C25" s="26">
        <v>107834</v>
      </c>
      <c r="D25" s="17" t="s">
        <v>29</v>
      </c>
      <c r="E25" s="9" t="s">
        <v>58</v>
      </c>
      <c r="F25" s="26" t="s">
        <v>57</v>
      </c>
      <c r="G25" s="10">
        <v>1527000</v>
      </c>
      <c r="H25" s="1"/>
      <c r="I25" s="45"/>
      <c r="L25" s="46" t="s">
        <v>203</v>
      </c>
      <c r="M25" s="49">
        <f>M23*0.3</f>
        <v>664665.81219512189</v>
      </c>
      <c r="N25" s="45"/>
      <c r="Q25" s="46" t="s">
        <v>203</v>
      </c>
      <c r="R25" s="49">
        <f>R23*0.3</f>
        <v>803377.57801490522</v>
      </c>
      <c r="S25" s="45"/>
      <c r="V25" s="46" t="s">
        <v>203</v>
      </c>
      <c r="W25" s="49">
        <f>W23*0.3</f>
        <v>1203762.3951219514</v>
      </c>
      <c r="X25" s="45"/>
      <c r="AA25" s="46" t="s">
        <v>203</v>
      </c>
      <c r="AB25" s="49">
        <f>AB23*0.3</f>
        <v>1348983.9365853658</v>
      </c>
    </row>
    <row r="26" spans="1:28" ht="14.25" customHeight="1" thickBot="1" x14ac:dyDescent="0.35">
      <c r="A26" s="1"/>
      <c r="B26" s="59"/>
      <c r="C26" s="26">
        <v>106685</v>
      </c>
      <c r="D26" s="17" t="s">
        <v>29</v>
      </c>
      <c r="E26" s="9" t="s">
        <v>59</v>
      </c>
      <c r="F26" s="26" t="s">
        <v>60</v>
      </c>
      <c r="G26" s="10">
        <v>3575600</v>
      </c>
      <c r="H26" s="1"/>
      <c r="I26" s="50"/>
      <c r="J26" s="51"/>
      <c r="K26" s="51"/>
      <c r="L26" s="55" t="s">
        <v>204</v>
      </c>
      <c r="M26" s="52">
        <f>M24+M25</f>
        <v>3301173.5339024384</v>
      </c>
      <c r="N26" s="50"/>
      <c r="O26" s="51"/>
      <c r="P26" s="51"/>
      <c r="Q26" s="55" t="s">
        <v>204</v>
      </c>
      <c r="R26" s="52">
        <f>R24+R25</f>
        <v>3990108.6374740289</v>
      </c>
      <c r="S26" s="50"/>
      <c r="T26" s="51"/>
      <c r="U26" s="51"/>
      <c r="V26" s="55" t="s">
        <v>204</v>
      </c>
      <c r="W26" s="52">
        <f>W24+W25</f>
        <v>5978686.5624390244</v>
      </c>
      <c r="X26" s="50"/>
      <c r="Y26" s="51"/>
      <c r="Z26" s="51"/>
      <c r="AA26" s="55" t="s">
        <v>204</v>
      </c>
      <c r="AB26" s="52">
        <f>AB24+AB25</f>
        <v>6699953.5517073171</v>
      </c>
    </row>
    <row r="27" spans="1:28" ht="14.25" customHeight="1" x14ac:dyDescent="0.3">
      <c r="A27" s="1"/>
      <c r="B27" s="59"/>
      <c r="C27" s="26">
        <v>107833</v>
      </c>
      <c r="D27" s="17" t="s">
        <v>29</v>
      </c>
      <c r="E27" s="1" t="s">
        <v>61</v>
      </c>
      <c r="F27" s="26" t="s">
        <v>62</v>
      </c>
      <c r="G27" s="10">
        <v>3117977.3148148148</v>
      </c>
      <c r="H27" s="1"/>
      <c r="I27" s="1"/>
    </row>
    <row r="28" spans="1:28" ht="14.25" customHeight="1" x14ac:dyDescent="0.3">
      <c r="A28" s="1"/>
      <c r="B28" s="59"/>
      <c r="C28" s="26">
        <v>106799</v>
      </c>
      <c r="D28" s="17" t="s">
        <v>29</v>
      </c>
      <c r="E28" s="9" t="s">
        <v>63</v>
      </c>
      <c r="F28" s="26" t="s">
        <v>64</v>
      </c>
      <c r="G28" s="10">
        <v>1390200</v>
      </c>
      <c r="H28" s="1"/>
      <c r="I28" s="1"/>
    </row>
    <row r="29" spans="1:28" ht="14.25" customHeight="1" x14ac:dyDescent="0.3">
      <c r="A29" s="1"/>
      <c r="B29" s="59"/>
      <c r="C29" s="26">
        <v>106684</v>
      </c>
      <c r="D29" s="17" t="s">
        <v>29</v>
      </c>
      <c r="E29" s="9" t="s">
        <v>65</v>
      </c>
      <c r="F29" s="26" t="s">
        <v>66</v>
      </c>
      <c r="G29" s="10">
        <v>795200</v>
      </c>
      <c r="H29" s="1"/>
    </row>
    <row r="30" spans="1:28" ht="14.25" customHeight="1" x14ac:dyDescent="0.3">
      <c r="A30" s="1"/>
      <c r="B30" s="59"/>
      <c r="C30" s="29">
        <v>108055</v>
      </c>
      <c r="D30" s="17" t="s">
        <v>29</v>
      </c>
      <c r="E30" s="9" t="s">
        <v>67</v>
      </c>
      <c r="F30" s="26" t="s">
        <v>68</v>
      </c>
      <c r="G30" s="10">
        <v>811024</v>
      </c>
      <c r="H30" s="1"/>
    </row>
    <row r="31" spans="1:28" ht="14.25" customHeight="1" thickBot="1" x14ac:dyDescent="0.35">
      <c r="A31" s="1"/>
      <c r="B31" s="59"/>
      <c r="C31" s="26">
        <v>106683</v>
      </c>
      <c r="D31" s="17" t="s">
        <v>29</v>
      </c>
      <c r="E31" s="9" t="s">
        <v>69</v>
      </c>
      <c r="F31" s="26" t="s">
        <v>70</v>
      </c>
      <c r="G31" s="10">
        <v>897259.69907407404</v>
      </c>
      <c r="H31" s="1"/>
    </row>
    <row r="32" spans="1:28" ht="14.25" customHeight="1" x14ac:dyDescent="0.3">
      <c r="A32" s="1"/>
      <c r="B32" s="59"/>
      <c r="C32" s="26">
        <v>106682</v>
      </c>
      <c r="D32" s="9" t="s">
        <v>29</v>
      </c>
      <c r="E32" s="9" t="s">
        <v>71</v>
      </c>
      <c r="F32" s="26" t="s">
        <v>72</v>
      </c>
      <c r="G32" s="30">
        <v>966335.99537037034</v>
      </c>
      <c r="H32" s="1"/>
      <c r="I32" s="82" t="s">
        <v>211</v>
      </c>
      <c r="J32" s="83"/>
      <c r="K32" s="83"/>
      <c r="L32" s="83"/>
      <c r="M32" s="84"/>
      <c r="N32" s="85" t="s">
        <v>212</v>
      </c>
      <c r="O32" s="86"/>
      <c r="P32" s="86"/>
      <c r="Q32" s="86"/>
      <c r="R32" s="87"/>
      <c r="S32" s="85" t="s">
        <v>213</v>
      </c>
      <c r="T32" s="86"/>
      <c r="U32" s="86"/>
      <c r="V32" s="86"/>
      <c r="W32" s="87"/>
      <c r="X32" s="85" t="s">
        <v>214</v>
      </c>
      <c r="Y32" s="86"/>
      <c r="Z32" s="86"/>
      <c r="AA32" s="86"/>
      <c r="AB32" s="87"/>
    </row>
    <row r="33" spans="1:28" ht="14.25" customHeight="1" x14ac:dyDescent="0.3">
      <c r="A33" s="1"/>
      <c r="B33" s="59"/>
      <c r="C33" s="24">
        <v>106681</v>
      </c>
      <c r="D33" s="17" t="s">
        <v>29</v>
      </c>
      <c r="E33" s="9" t="s">
        <v>73</v>
      </c>
      <c r="F33" s="24" t="s">
        <v>74</v>
      </c>
      <c r="G33" s="25">
        <v>1005813</v>
      </c>
      <c r="H33" s="11"/>
      <c r="I33" s="88"/>
      <c r="J33" s="89"/>
      <c r="K33" s="89"/>
      <c r="L33" s="89"/>
      <c r="M33" s="90"/>
      <c r="N33" s="91"/>
      <c r="O33" s="92"/>
      <c r="P33" s="92"/>
      <c r="Q33" s="92"/>
      <c r="R33" s="93"/>
      <c r="S33" s="91"/>
      <c r="T33" s="92"/>
      <c r="U33" s="92"/>
      <c r="V33" s="92"/>
      <c r="W33" s="93"/>
      <c r="X33" s="91"/>
      <c r="Y33" s="92"/>
      <c r="Z33" s="92"/>
      <c r="AA33" s="92"/>
      <c r="AB33" s="93"/>
    </row>
    <row r="34" spans="1:28" ht="14.25" customHeight="1" thickBot="1" x14ac:dyDescent="0.35">
      <c r="A34" s="1"/>
      <c r="B34" s="59"/>
      <c r="C34" s="24">
        <v>107832</v>
      </c>
      <c r="D34" s="17" t="s">
        <v>29</v>
      </c>
      <c r="E34" s="9" t="s">
        <v>75</v>
      </c>
      <c r="F34" s="24" t="s">
        <v>76</v>
      </c>
      <c r="G34" s="25">
        <v>1043625</v>
      </c>
      <c r="H34" s="1"/>
      <c r="I34" s="94"/>
      <c r="J34" s="95"/>
      <c r="K34" s="95"/>
      <c r="L34" s="95"/>
      <c r="M34" s="96"/>
      <c r="N34" s="97"/>
      <c r="O34" s="98"/>
      <c r="P34" s="98"/>
      <c r="Q34" s="98"/>
      <c r="R34" s="99"/>
      <c r="S34" s="97"/>
      <c r="T34" s="98"/>
      <c r="U34" s="98"/>
      <c r="V34" s="98"/>
      <c r="W34" s="99"/>
      <c r="X34" s="97"/>
      <c r="Y34" s="98"/>
      <c r="Z34" s="98"/>
      <c r="AA34" s="98"/>
      <c r="AB34" s="99"/>
    </row>
    <row r="35" spans="1:28" ht="14.25" customHeight="1" x14ac:dyDescent="0.3">
      <c r="A35" s="1"/>
      <c r="B35" s="59"/>
      <c r="C35" s="29">
        <v>108054</v>
      </c>
      <c r="D35" s="17" t="s">
        <v>29</v>
      </c>
      <c r="E35" s="9" t="s">
        <v>77</v>
      </c>
      <c r="F35" s="24" t="s">
        <v>78</v>
      </c>
      <c r="G35" s="25">
        <v>1156031.25</v>
      </c>
      <c r="H35" s="1"/>
      <c r="I35" s="44"/>
      <c r="J35" s="56"/>
      <c r="K35" s="56"/>
      <c r="L35" s="56"/>
      <c r="M35" s="57"/>
      <c r="N35" s="44"/>
      <c r="O35" s="56"/>
      <c r="P35" s="56"/>
      <c r="Q35" s="56"/>
      <c r="R35" s="57"/>
      <c r="S35" s="44"/>
      <c r="T35" s="56"/>
      <c r="U35" s="56"/>
      <c r="V35" s="56"/>
      <c r="W35" s="57"/>
      <c r="X35" s="44"/>
      <c r="Y35" s="56"/>
      <c r="Z35" s="56"/>
      <c r="AA35" s="56"/>
      <c r="AB35" s="57"/>
    </row>
    <row r="36" spans="1:28" ht="14.25" customHeight="1" x14ac:dyDescent="0.3">
      <c r="A36" s="1"/>
      <c r="B36" s="59"/>
      <c r="C36" s="1">
        <v>107831</v>
      </c>
      <c r="D36" s="17" t="s">
        <v>29</v>
      </c>
      <c r="E36" s="1" t="s">
        <v>79</v>
      </c>
      <c r="F36" s="26" t="s">
        <v>80</v>
      </c>
      <c r="G36" s="25">
        <v>602874.30555555562</v>
      </c>
      <c r="H36" s="1"/>
      <c r="I36" s="45"/>
      <c r="L36" s="46" t="s">
        <v>199</v>
      </c>
      <c r="M36" s="47" t="s">
        <v>200</v>
      </c>
      <c r="N36" s="45"/>
      <c r="Q36" s="46" t="s">
        <v>199</v>
      </c>
      <c r="R36" s="47" t="s">
        <v>200</v>
      </c>
      <c r="S36" s="45"/>
      <c r="T36" s="70"/>
      <c r="U36" s="70"/>
      <c r="V36" s="71" t="s">
        <v>199</v>
      </c>
      <c r="W36" s="47" t="s">
        <v>200</v>
      </c>
      <c r="X36" s="45"/>
      <c r="Y36" s="70"/>
      <c r="Z36" s="70"/>
      <c r="AA36" s="73" t="s">
        <v>199</v>
      </c>
      <c r="AB36" s="47" t="s">
        <v>200</v>
      </c>
    </row>
    <row r="37" spans="1:28" ht="15.75" customHeight="1" x14ac:dyDescent="0.3">
      <c r="A37" s="1"/>
      <c r="B37" s="59"/>
      <c r="C37" s="26">
        <v>107000</v>
      </c>
      <c r="D37" s="17" t="s">
        <v>29</v>
      </c>
      <c r="E37" s="9" t="s">
        <v>81</v>
      </c>
      <c r="F37" s="26" t="s">
        <v>82</v>
      </c>
      <c r="G37" s="10">
        <v>715432.07671957684</v>
      </c>
      <c r="H37" s="1"/>
      <c r="I37" s="72" t="s">
        <v>16</v>
      </c>
      <c r="J37" s="73" t="s">
        <v>205</v>
      </c>
      <c r="K37" s="48">
        <f>$G$6</f>
        <v>105690.95121951219</v>
      </c>
      <c r="L37">
        <v>6</v>
      </c>
      <c r="M37" s="49">
        <f>K37*L37</f>
        <v>634145.70731707313</v>
      </c>
      <c r="N37" s="72" t="s">
        <v>16</v>
      </c>
      <c r="O37" s="73" t="s">
        <v>205</v>
      </c>
      <c r="P37" s="48">
        <f>$G$6</f>
        <v>105690.95121951219</v>
      </c>
      <c r="Q37">
        <v>9</v>
      </c>
      <c r="R37" s="49">
        <f>P37*Q37</f>
        <v>951218.5609756097</v>
      </c>
      <c r="S37" s="72" t="s">
        <v>16</v>
      </c>
      <c r="T37" s="73" t="s">
        <v>205</v>
      </c>
      <c r="U37" s="74">
        <f>$G$6</f>
        <v>105690.95121951219</v>
      </c>
      <c r="V37" s="70">
        <v>14</v>
      </c>
      <c r="W37" s="49">
        <f>U37*V37</f>
        <v>1479673.3170731708</v>
      </c>
      <c r="X37" s="72" t="s">
        <v>16</v>
      </c>
      <c r="Y37" s="73" t="s">
        <v>205</v>
      </c>
      <c r="Z37" s="74">
        <f>$G$6</f>
        <v>105690.95121951219</v>
      </c>
      <c r="AA37" s="70">
        <v>18</v>
      </c>
      <c r="AB37" s="49">
        <f>Z37*AA37</f>
        <v>1902437.1219512194</v>
      </c>
    </row>
    <row r="38" spans="1:28" ht="14.25" customHeight="1" x14ac:dyDescent="0.3">
      <c r="A38" s="1"/>
      <c r="B38" s="59"/>
      <c r="C38" s="26">
        <v>106999</v>
      </c>
      <c r="D38" s="17" t="s">
        <v>29</v>
      </c>
      <c r="E38" s="9" t="s">
        <v>83</v>
      </c>
      <c r="F38" s="26" t="s">
        <v>84</v>
      </c>
      <c r="G38" s="10">
        <v>794387.03703703696</v>
      </c>
      <c r="H38" s="1"/>
      <c r="I38" s="45"/>
      <c r="J38" s="46" t="s">
        <v>40</v>
      </c>
      <c r="K38" s="48">
        <f>$G$16</f>
        <v>325389.47368421103</v>
      </c>
      <c r="L38">
        <v>1</v>
      </c>
      <c r="M38" s="49">
        <f>K38*L38</f>
        <v>325389.47368421103</v>
      </c>
      <c r="N38" s="45"/>
      <c r="O38" s="46" t="s">
        <v>44</v>
      </c>
      <c r="P38" s="48">
        <f>$G$18</f>
        <v>380800</v>
      </c>
      <c r="Q38">
        <v>1</v>
      </c>
      <c r="R38" s="49">
        <f>P38*Q38</f>
        <v>380800</v>
      </c>
      <c r="S38" s="45"/>
      <c r="T38" s="73" t="s">
        <v>48</v>
      </c>
      <c r="U38" s="74">
        <f>$G$20</f>
        <v>598500</v>
      </c>
      <c r="V38" s="70">
        <v>1</v>
      </c>
      <c r="W38" s="49">
        <f>U38*V38</f>
        <v>598500</v>
      </c>
      <c r="X38" s="45"/>
      <c r="Y38" s="73" t="s">
        <v>50</v>
      </c>
      <c r="Z38" s="74">
        <f>$G$2</f>
        <v>89820</v>
      </c>
      <c r="AA38" s="70">
        <v>1</v>
      </c>
      <c r="AB38" s="49">
        <f>Z38*AA38</f>
        <v>89820</v>
      </c>
    </row>
    <row r="39" spans="1:28" ht="14.25" customHeight="1" x14ac:dyDescent="0.3">
      <c r="A39" s="1"/>
      <c r="B39" s="59"/>
      <c r="C39" s="26">
        <v>107830</v>
      </c>
      <c r="D39" s="17" t="s">
        <v>29</v>
      </c>
      <c r="E39" s="17" t="s">
        <v>85</v>
      </c>
      <c r="F39" s="26" t="s">
        <v>86</v>
      </c>
      <c r="G39" s="10">
        <v>924234.829059829</v>
      </c>
      <c r="H39" s="1"/>
      <c r="I39" s="53"/>
      <c r="J39" s="46" t="s">
        <v>191</v>
      </c>
      <c r="K39" s="74">
        <f>$G$50</f>
        <v>640000</v>
      </c>
      <c r="L39">
        <v>0</v>
      </c>
      <c r="M39" s="49">
        <f>K39*L39</f>
        <v>0</v>
      </c>
      <c r="N39" s="53"/>
      <c r="O39" s="46" t="s">
        <v>191</v>
      </c>
      <c r="P39" s="74">
        <f>$G$50</f>
        <v>640000</v>
      </c>
      <c r="Q39">
        <v>0</v>
      </c>
      <c r="R39" s="49">
        <f>P39*Q39</f>
        <v>0</v>
      </c>
      <c r="S39" s="53"/>
      <c r="T39" s="71" t="s">
        <v>191</v>
      </c>
      <c r="U39" s="74">
        <f>$G$50</f>
        <v>640000</v>
      </c>
      <c r="V39" s="70">
        <v>0</v>
      </c>
      <c r="W39" s="49">
        <f>U39*V39</f>
        <v>0</v>
      </c>
      <c r="X39" s="53"/>
      <c r="Y39" s="71" t="s">
        <v>191</v>
      </c>
      <c r="Z39" s="74">
        <f>$G$50</f>
        <v>640000</v>
      </c>
      <c r="AA39" s="70">
        <v>0</v>
      </c>
      <c r="AB39" s="49">
        <f>Z39*AA39</f>
        <v>0</v>
      </c>
    </row>
    <row r="40" spans="1:28" ht="14.25" customHeight="1" x14ac:dyDescent="0.3">
      <c r="A40" s="1"/>
      <c r="B40" s="59"/>
      <c r="C40" s="26">
        <v>106997</v>
      </c>
      <c r="D40" s="17" t="s">
        <v>29</v>
      </c>
      <c r="E40" s="9" t="s">
        <v>87</v>
      </c>
      <c r="F40" s="26" t="s">
        <v>88</v>
      </c>
      <c r="G40" s="10">
        <v>926830.41666666674</v>
      </c>
      <c r="H40" s="1"/>
      <c r="I40" s="81"/>
      <c r="J40" s="46" t="s">
        <v>192</v>
      </c>
      <c r="K40" s="48">
        <f>$G$82</f>
        <v>18320</v>
      </c>
      <c r="L40">
        <v>3</v>
      </c>
      <c r="M40" s="49">
        <f>K40*L40</f>
        <v>54960</v>
      </c>
      <c r="N40" s="75"/>
      <c r="O40" s="46" t="s">
        <v>192</v>
      </c>
      <c r="P40" s="48">
        <f>$G$82</f>
        <v>18320</v>
      </c>
      <c r="Q40">
        <v>5</v>
      </c>
      <c r="R40" s="49">
        <f>P40*Q40</f>
        <v>91600</v>
      </c>
      <c r="S40" s="75"/>
      <c r="T40" s="71" t="s">
        <v>192</v>
      </c>
      <c r="U40" s="74">
        <f>$G$82</f>
        <v>18320</v>
      </c>
      <c r="V40">
        <v>7</v>
      </c>
      <c r="W40" s="49">
        <f>U40*V40</f>
        <v>128240</v>
      </c>
      <c r="X40" s="75"/>
      <c r="Y40" s="71" t="s">
        <v>192</v>
      </c>
      <c r="Z40" s="74">
        <f>$G$82</f>
        <v>18320</v>
      </c>
      <c r="AA40">
        <v>8</v>
      </c>
      <c r="AB40" s="49">
        <f>Z40*AA40</f>
        <v>146560</v>
      </c>
    </row>
    <row r="41" spans="1:28" ht="14.25" customHeight="1" x14ac:dyDescent="0.3">
      <c r="A41" s="1"/>
      <c r="B41" s="59"/>
      <c r="C41" s="26">
        <v>106996</v>
      </c>
      <c r="D41" s="17" t="s">
        <v>29</v>
      </c>
      <c r="E41" s="9" t="s">
        <v>89</v>
      </c>
      <c r="F41" s="26" t="s">
        <v>90</v>
      </c>
      <c r="G41" s="10">
        <v>904047.42063492059</v>
      </c>
      <c r="H41" s="1"/>
      <c r="I41" s="81"/>
      <c r="J41" s="46" t="s">
        <v>145</v>
      </c>
      <c r="K41" s="48">
        <f>$G$69</f>
        <v>1100</v>
      </c>
      <c r="L41">
        <v>10</v>
      </c>
      <c r="M41" s="49">
        <f>K41*L41</f>
        <v>11000</v>
      </c>
      <c r="N41" s="75"/>
      <c r="O41" s="46" t="s">
        <v>145</v>
      </c>
      <c r="P41" s="48">
        <f>$G$69</f>
        <v>1100</v>
      </c>
      <c r="Q41">
        <v>16</v>
      </c>
      <c r="R41" s="49">
        <f>P41*Q41</f>
        <v>17600</v>
      </c>
      <c r="S41" s="75"/>
      <c r="T41" s="71" t="s">
        <v>145</v>
      </c>
      <c r="U41" s="74">
        <f>$G$69</f>
        <v>1100</v>
      </c>
      <c r="V41">
        <v>22</v>
      </c>
      <c r="W41" s="49">
        <f>U41*V41</f>
        <v>24200</v>
      </c>
      <c r="X41" s="75"/>
      <c r="Y41" s="71" t="s">
        <v>145</v>
      </c>
      <c r="Z41" s="74">
        <f>$G$69</f>
        <v>1100</v>
      </c>
      <c r="AA41">
        <f>3*AA40</f>
        <v>24</v>
      </c>
      <c r="AB41" s="49">
        <f>Z41*AA41</f>
        <v>26400</v>
      </c>
    </row>
    <row r="42" spans="1:28" ht="14.25" customHeight="1" x14ac:dyDescent="0.3">
      <c r="A42" s="1"/>
      <c r="B42" s="59"/>
      <c r="C42" s="1">
        <v>107829</v>
      </c>
      <c r="D42" s="17" t="s">
        <v>29</v>
      </c>
      <c r="E42" s="1" t="s">
        <v>91</v>
      </c>
      <c r="F42" s="26" t="s">
        <v>92</v>
      </c>
      <c r="G42" s="10">
        <v>1711270.8333333335</v>
      </c>
      <c r="H42" s="1"/>
      <c r="I42" s="81"/>
      <c r="J42" s="73" t="s">
        <v>161</v>
      </c>
      <c r="K42" s="74">
        <f>$G$85</f>
        <v>2500</v>
      </c>
      <c r="L42" s="70">
        <v>4</v>
      </c>
      <c r="M42" s="49">
        <f>K42*L42</f>
        <v>10000</v>
      </c>
      <c r="N42" s="75"/>
      <c r="O42" s="73" t="s">
        <v>161</v>
      </c>
      <c r="P42" s="74">
        <f>$G$85</f>
        <v>2500</v>
      </c>
      <c r="Q42" s="70">
        <v>4</v>
      </c>
      <c r="R42" s="49">
        <f>P42*Q42</f>
        <v>10000</v>
      </c>
      <c r="S42" s="75"/>
      <c r="T42" s="73" t="s">
        <v>161</v>
      </c>
      <c r="U42" s="74">
        <f>$G$85</f>
        <v>2500</v>
      </c>
      <c r="V42" s="70">
        <v>4</v>
      </c>
      <c r="W42" s="49">
        <f>U42*V42</f>
        <v>10000</v>
      </c>
      <c r="X42" s="75"/>
      <c r="Y42" s="73" t="s">
        <v>161</v>
      </c>
      <c r="Z42" s="74">
        <f>$G$85</f>
        <v>2500</v>
      </c>
      <c r="AA42" s="70">
        <v>4</v>
      </c>
      <c r="AB42" s="49">
        <f>Z42*AA42</f>
        <v>10000</v>
      </c>
    </row>
    <row r="43" spans="1:28" ht="14.25" customHeight="1" x14ac:dyDescent="0.3">
      <c r="A43" s="1"/>
      <c r="B43" s="59"/>
      <c r="C43" s="26">
        <v>106995</v>
      </c>
      <c r="D43" s="17" t="s">
        <v>29</v>
      </c>
      <c r="E43" s="9" t="s">
        <v>93</v>
      </c>
      <c r="F43" s="26" t="s">
        <v>94</v>
      </c>
      <c r="G43" s="10">
        <v>1953419.4444444445</v>
      </c>
      <c r="H43" s="1"/>
      <c r="I43" s="81"/>
      <c r="J43" s="46" t="s">
        <v>194</v>
      </c>
      <c r="K43" s="48">
        <f>$G$80</f>
        <v>496</v>
      </c>
      <c r="L43">
        <v>12</v>
      </c>
      <c r="M43" s="49">
        <f>K43*L43</f>
        <v>5952</v>
      </c>
      <c r="N43" s="75"/>
      <c r="O43" s="46" t="s">
        <v>194</v>
      </c>
      <c r="P43" s="48">
        <f>$G$80</f>
        <v>496</v>
      </c>
      <c r="Q43">
        <v>12</v>
      </c>
      <c r="R43" s="49">
        <f>P43*Q43</f>
        <v>5952</v>
      </c>
      <c r="S43" s="75"/>
      <c r="T43" s="71" t="s">
        <v>194</v>
      </c>
      <c r="U43" s="74">
        <f>$G$80</f>
        <v>496</v>
      </c>
      <c r="V43">
        <f>(2*V37)-2</f>
        <v>26</v>
      </c>
      <c r="W43" s="49">
        <f>U43*V43</f>
        <v>12896</v>
      </c>
      <c r="X43" s="75"/>
      <c r="Y43" s="71" t="s">
        <v>194</v>
      </c>
      <c r="Z43" s="74">
        <f>$G$80</f>
        <v>496</v>
      </c>
      <c r="AA43">
        <f>(2*AA37)-4</f>
        <v>32</v>
      </c>
      <c r="AB43" s="49">
        <f>Z43*AA43</f>
        <v>15872</v>
      </c>
    </row>
    <row r="44" spans="1:28" ht="14.25" customHeight="1" x14ac:dyDescent="0.3">
      <c r="A44" s="1"/>
      <c r="B44" s="59"/>
      <c r="C44" s="26">
        <v>106994</v>
      </c>
      <c r="D44" s="17" t="s">
        <v>29</v>
      </c>
      <c r="E44" s="9" t="s">
        <v>95</v>
      </c>
      <c r="F44" s="26" t="s">
        <v>96</v>
      </c>
      <c r="G44" s="10">
        <v>2042038.888888889</v>
      </c>
      <c r="H44" s="1"/>
      <c r="I44" s="81"/>
      <c r="J44" s="46" t="s">
        <v>193</v>
      </c>
      <c r="K44" s="48">
        <f>$G$79</f>
        <v>496</v>
      </c>
      <c r="L44">
        <v>4</v>
      </c>
      <c r="M44" s="49">
        <f>K44*L44</f>
        <v>1984</v>
      </c>
      <c r="N44" s="75"/>
      <c r="O44" s="46" t="s">
        <v>193</v>
      </c>
      <c r="P44" s="48">
        <f>$G$79</f>
        <v>496</v>
      </c>
      <c r="Q44">
        <v>4</v>
      </c>
      <c r="R44" s="49">
        <f>P44*Q44</f>
        <v>1984</v>
      </c>
      <c r="S44" s="75"/>
      <c r="T44" s="71" t="s">
        <v>193</v>
      </c>
      <c r="U44" s="74">
        <f>$G$79</f>
        <v>496</v>
      </c>
      <c r="V44">
        <v>8</v>
      </c>
      <c r="W44" s="49">
        <f>U44*V44</f>
        <v>3968</v>
      </c>
      <c r="X44" s="75"/>
      <c r="Y44" s="71" t="s">
        <v>193</v>
      </c>
      <c r="Z44" s="74">
        <f>$G$79</f>
        <v>496</v>
      </c>
      <c r="AA44">
        <v>8</v>
      </c>
      <c r="AB44" s="49">
        <f>Z44*AA44</f>
        <v>3968</v>
      </c>
    </row>
    <row r="45" spans="1:28" ht="14.25" customHeight="1" x14ac:dyDescent="0.3">
      <c r="A45" s="1"/>
      <c r="B45" s="59"/>
      <c r="C45" s="26">
        <v>108058</v>
      </c>
      <c r="D45" s="17" t="s">
        <v>29</v>
      </c>
      <c r="E45" s="9" t="s">
        <v>97</v>
      </c>
      <c r="F45" s="26" t="s">
        <v>98</v>
      </c>
      <c r="G45" s="10">
        <v>3044370</v>
      </c>
      <c r="H45" s="1"/>
      <c r="I45" s="45"/>
      <c r="J45" s="46" t="s">
        <v>195</v>
      </c>
      <c r="K45" s="48">
        <f>$G$9</f>
        <v>680</v>
      </c>
      <c r="L45">
        <v>4</v>
      </c>
      <c r="M45" s="49">
        <f>K45*L45</f>
        <v>2720</v>
      </c>
      <c r="N45" s="45"/>
      <c r="O45" s="46" t="s">
        <v>195</v>
      </c>
      <c r="P45" s="48">
        <f>$G$9</f>
        <v>680</v>
      </c>
      <c r="Q45">
        <v>4</v>
      </c>
      <c r="R45" s="49">
        <f>P45*Q45</f>
        <v>2720</v>
      </c>
      <c r="S45" s="45"/>
      <c r="T45" s="71" t="s">
        <v>195</v>
      </c>
      <c r="U45" s="74">
        <f>$G$9</f>
        <v>680</v>
      </c>
      <c r="V45">
        <v>8</v>
      </c>
      <c r="W45" s="49">
        <f>U45*V45</f>
        <v>5440</v>
      </c>
      <c r="X45" s="45"/>
      <c r="Y45" s="71" t="s">
        <v>195</v>
      </c>
      <c r="Z45" s="74">
        <f>$G$9</f>
        <v>680</v>
      </c>
      <c r="AA45">
        <v>8</v>
      </c>
      <c r="AB45" s="49">
        <f>Z45*AA45</f>
        <v>5440</v>
      </c>
    </row>
    <row r="46" spans="1:28" ht="14.25" customHeight="1" x14ac:dyDescent="0.3">
      <c r="A46" s="1"/>
      <c r="B46" s="59"/>
      <c r="C46" s="26">
        <v>106941</v>
      </c>
      <c r="D46" s="17" t="s">
        <v>29</v>
      </c>
      <c r="E46" s="9" t="s">
        <v>99</v>
      </c>
      <c r="F46" s="26" t="s">
        <v>98</v>
      </c>
      <c r="G46" s="10">
        <v>3016643.2539682537</v>
      </c>
      <c r="H46" s="1"/>
      <c r="I46" s="45"/>
      <c r="J46" s="46" t="s">
        <v>196</v>
      </c>
      <c r="K46" s="48">
        <f>$G$10</f>
        <v>680</v>
      </c>
      <c r="L46">
        <v>4</v>
      </c>
      <c r="M46" s="49">
        <f>K46*L46</f>
        <v>2720</v>
      </c>
      <c r="N46" s="45"/>
      <c r="O46" s="46" t="s">
        <v>196</v>
      </c>
      <c r="P46" s="48">
        <f>$G$10</f>
        <v>680</v>
      </c>
      <c r="Q46">
        <v>4</v>
      </c>
      <c r="R46" s="49">
        <f>P46*Q46</f>
        <v>2720</v>
      </c>
      <c r="S46" s="45"/>
      <c r="T46" s="71" t="s">
        <v>196</v>
      </c>
      <c r="U46" s="74">
        <f>$G$10</f>
        <v>680</v>
      </c>
      <c r="V46">
        <v>8</v>
      </c>
      <c r="W46" s="49">
        <f>U46*V46</f>
        <v>5440</v>
      </c>
      <c r="X46" s="45"/>
      <c r="Y46" s="71" t="s">
        <v>196</v>
      </c>
      <c r="Z46" s="74">
        <f>$G$10</f>
        <v>680</v>
      </c>
      <c r="AA46">
        <v>8</v>
      </c>
      <c r="AB46" s="49">
        <f>Z46*AA46</f>
        <v>5440</v>
      </c>
    </row>
    <row r="47" spans="1:28" ht="14.25" customHeight="1" x14ac:dyDescent="0.3">
      <c r="A47" s="1"/>
      <c r="B47" s="31"/>
      <c r="C47" s="26">
        <v>108057</v>
      </c>
      <c r="D47" s="17" t="s">
        <v>29</v>
      </c>
      <c r="E47" s="9" t="s">
        <v>100</v>
      </c>
      <c r="F47" s="26" t="s">
        <v>101</v>
      </c>
      <c r="G47" s="10">
        <v>3986711</v>
      </c>
      <c r="H47" s="1"/>
      <c r="I47" s="45"/>
      <c r="J47" s="46" t="s">
        <v>197</v>
      </c>
      <c r="K47" s="48">
        <f>$H$96</f>
        <v>947.85</v>
      </c>
      <c r="L47">
        <v>30</v>
      </c>
      <c r="M47" s="49">
        <f>K47*L47</f>
        <v>28435.5</v>
      </c>
      <c r="N47" s="45"/>
      <c r="O47" s="46" t="s">
        <v>197</v>
      </c>
      <c r="P47" s="48">
        <f>$H$96</f>
        <v>947.85</v>
      </c>
      <c r="Q47">
        <v>30</v>
      </c>
      <c r="R47" s="49">
        <f>P47*Q47</f>
        <v>28435.5</v>
      </c>
      <c r="S47" s="45"/>
      <c r="T47" s="71" t="s">
        <v>197</v>
      </c>
      <c r="U47" s="74">
        <f>$H$96</f>
        <v>947.85</v>
      </c>
      <c r="V47">
        <v>30</v>
      </c>
      <c r="W47" s="49">
        <f>U47*V47</f>
        <v>28435.5</v>
      </c>
      <c r="X47" s="45"/>
      <c r="Y47" s="71" t="s">
        <v>197</v>
      </c>
      <c r="Z47" s="74">
        <f>$H$96</f>
        <v>947.85</v>
      </c>
      <c r="AA47">
        <v>30</v>
      </c>
      <c r="AB47" s="49">
        <f>Z47*AA47</f>
        <v>28435.5</v>
      </c>
    </row>
    <row r="48" spans="1:28" ht="14.25" customHeight="1" thickBot="1" x14ac:dyDescent="0.35">
      <c r="A48" s="1"/>
      <c r="B48" s="31"/>
      <c r="C48" s="26">
        <v>108056</v>
      </c>
      <c r="D48" s="17" t="s">
        <v>29</v>
      </c>
      <c r="E48" s="9" t="s">
        <v>102</v>
      </c>
      <c r="F48" s="26" t="s">
        <v>103</v>
      </c>
      <c r="G48" s="10">
        <v>4126266</v>
      </c>
      <c r="H48" s="1"/>
      <c r="I48" s="45"/>
      <c r="J48" s="46" t="s">
        <v>198</v>
      </c>
      <c r="K48" s="48">
        <f>$H$96</f>
        <v>947.85</v>
      </c>
      <c r="L48">
        <v>30</v>
      </c>
      <c r="M48" s="49">
        <f>K48*L48</f>
        <v>28435.5</v>
      </c>
      <c r="N48" s="45"/>
      <c r="O48" s="46" t="s">
        <v>198</v>
      </c>
      <c r="P48" s="48">
        <f>$H$96</f>
        <v>947.85</v>
      </c>
      <c r="Q48">
        <v>30</v>
      </c>
      <c r="R48" s="49">
        <f>P48*Q48</f>
        <v>28435.5</v>
      </c>
      <c r="S48" s="45"/>
      <c r="T48" s="71" t="s">
        <v>198</v>
      </c>
      <c r="U48" s="74">
        <f>$H$96</f>
        <v>947.85</v>
      </c>
      <c r="V48">
        <v>30</v>
      </c>
      <c r="W48" s="49">
        <f>U48*V48</f>
        <v>28435.5</v>
      </c>
      <c r="X48" s="45"/>
      <c r="Y48" s="71" t="s">
        <v>198</v>
      </c>
      <c r="Z48" s="74">
        <f>$H$96</f>
        <v>947.85</v>
      </c>
      <c r="AA48">
        <v>30</v>
      </c>
      <c r="AB48" s="49">
        <f>Z48*AA48</f>
        <v>28435.5</v>
      </c>
    </row>
    <row r="49" spans="1:28" ht="14.25" customHeight="1" x14ac:dyDescent="0.3">
      <c r="A49" s="1"/>
      <c r="B49" s="62"/>
      <c r="C49" s="5">
        <v>106680</v>
      </c>
      <c r="D49" s="6" t="s">
        <v>29</v>
      </c>
      <c r="E49" s="6" t="s">
        <v>104</v>
      </c>
      <c r="F49" s="6" t="s">
        <v>105</v>
      </c>
      <c r="G49" s="7">
        <v>859922.12301587302</v>
      </c>
      <c r="H49" s="1"/>
      <c r="I49" s="45"/>
      <c r="L49" s="46" t="s">
        <v>201</v>
      </c>
      <c r="M49" s="49">
        <f>SUM(M37:M48)</f>
        <v>1105742.1810012842</v>
      </c>
      <c r="N49" s="45"/>
      <c r="Q49" s="46" t="s">
        <v>201</v>
      </c>
      <c r="R49" s="49">
        <f>SUM(R37:R48)</f>
        <v>1521465.5609756098</v>
      </c>
      <c r="S49" s="45"/>
      <c r="T49" s="70"/>
      <c r="U49" s="70"/>
      <c r="V49" s="71" t="s">
        <v>201</v>
      </c>
      <c r="W49" s="49">
        <f>SUM(W37:W48)</f>
        <v>2325228.317073171</v>
      </c>
      <c r="X49" s="45"/>
      <c r="Y49" s="70"/>
      <c r="Z49" s="70"/>
      <c r="AA49" s="71" t="s">
        <v>201</v>
      </c>
      <c r="AB49" s="49">
        <f>SUM(AB37:AB48)</f>
        <v>2262808.1219512196</v>
      </c>
    </row>
    <row r="50" spans="1:28" ht="14.25" customHeight="1" x14ac:dyDescent="0.3">
      <c r="A50" s="1"/>
      <c r="B50" s="63"/>
      <c r="C50" s="16">
        <v>106679</v>
      </c>
      <c r="D50" s="17" t="s">
        <v>29</v>
      </c>
      <c r="E50" s="17" t="s">
        <v>106</v>
      </c>
      <c r="F50" s="17" t="s">
        <v>107</v>
      </c>
      <c r="G50" s="25">
        <v>640000</v>
      </c>
      <c r="H50" s="1"/>
      <c r="I50" s="45"/>
      <c r="L50" s="46" t="s">
        <v>202</v>
      </c>
      <c r="M50" s="54">
        <f>M49*1.19</f>
        <v>1315833.1953915281</v>
      </c>
      <c r="N50" s="45"/>
      <c r="Q50" s="46" t="s">
        <v>202</v>
      </c>
      <c r="R50" s="54">
        <f>R49*1.19</f>
        <v>1810544.0175609756</v>
      </c>
      <c r="S50" s="45"/>
      <c r="T50" s="70"/>
      <c r="U50" s="70"/>
      <c r="V50" s="71" t="s">
        <v>202</v>
      </c>
      <c r="W50" s="54">
        <f>W49*1.19</f>
        <v>2767021.6973170736</v>
      </c>
      <c r="X50" s="45"/>
      <c r="Y50" s="70"/>
      <c r="Z50" s="70"/>
      <c r="AA50" s="71" t="s">
        <v>202</v>
      </c>
      <c r="AB50" s="54">
        <f>AB49*1.19</f>
        <v>2692741.6651219511</v>
      </c>
    </row>
    <row r="51" spans="1:28" ht="14.25" customHeight="1" x14ac:dyDescent="0.3">
      <c r="A51" s="1"/>
      <c r="B51" s="63"/>
      <c r="C51" s="16">
        <v>107839</v>
      </c>
      <c r="D51" s="17" t="s">
        <v>29</v>
      </c>
      <c r="E51" s="40" t="s">
        <v>108</v>
      </c>
      <c r="F51" s="17" t="s">
        <v>109</v>
      </c>
      <c r="G51" s="25">
        <v>640000</v>
      </c>
      <c r="H51" s="1"/>
      <c r="I51" s="45"/>
      <c r="L51" s="46" t="s">
        <v>203</v>
      </c>
      <c r="M51" s="49">
        <f>M49*0.3</f>
        <v>331722.65430038521</v>
      </c>
      <c r="N51" s="45"/>
      <c r="Q51" s="46" t="s">
        <v>203</v>
      </c>
      <c r="R51" s="49">
        <f>R49*0.3</f>
        <v>456439.66829268291</v>
      </c>
      <c r="S51" s="45"/>
      <c r="T51" s="70"/>
      <c r="U51" s="70"/>
      <c r="V51" s="71" t="s">
        <v>203</v>
      </c>
      <c r="W51" s="49">
        <f>W49*0.3</f>
        <v>697568.49512195133</v>
      </c>
      <c r="X51" s="45"/>
      <c r="Y51" s="70"/>
      <c r="Z51" s="70"/>
      <c r="AA51" s="71" t="s">
        <v>203</v>
      </c>
      <c r="AB51" s="49">
        <f>AB49*0.3</f>
        <v>678842.43658536591</v>
      </c>
    </row>
    <row r="52" spans="1:28" ht="14.25" customHeight="1" thickBot="1" x14ac:dyDescent="0.35">
      <c r="A52" s="1"/>
      <c r="B52" s="63"/>
      <c r="C52" s="16">
        <v>107838</v>
      </c>
      <c r="D52" s="17" t="s">
        <v>29</v>
      </c>
      <c r="E52" s="17" t="s">
        <v>110</v>
      </c>
      <c r="F52" s="17" t="s">
        <v>111</v>
      </c>
      <c r="G52" s="25">
        <v>1653600.6666666667</v>
      </c>
      <c r="H52" s="1"/>
      <c r="I52" s="50"/>
      <c r="J52" s="51"/>
      <c r="K52" s="51"/>
      <c r="L52" s="55" t="s">
        <v>204</v>
      </c>
      <c r="M52" s="109">
        <f>M50+M51</f>
        <v>1647555.8496919132</v>
      </c>
      <c r="N52" s="50"/>
      <c r="O52" s="51"/>
      <c r="P52" s="51"/>
      <c r="Q52" s="55" t="s">
        <v>204</v>
      </c>
      <c r="R52" s="109">
        <f>R50+R51</f>
        <v>2266983.6858536587</v>
      </c>
      <c r="S52" s="50"/>
      <c r="T52" s="51"/>
      <c r="U52" s="51"/>
      <c r="V52" s="55" t="s">
        <v>204</v>
      </c>
      <c r="W52" s="109">
        <f>W50+W51</f>
        <v>3464590.1924390248</v>
      </c>
      <c r="X52" s="50"/>
      <c r="Y52" s="51"/>
      <c r="Z52" s="51"/>
      <c r="AA52" s="55" t="s">
        <v>204</v>
      </c>
      <c r="AB52" s="109">
        <f>AB50+AB51</f>
        <v>3371584.1017073169</v>
      </c>
    </row>
    <row r="53" spans="1:28" ht="14.25" customHeight="1" x14ac:dyDescent="0.3">
      <c r="A53" s="1"/>
      <c r="B53" s="63"/>
      <c r="C53" s="8">
        <v>106798</v>
      </c>
      <c r="D53" s="17" t="s">
        <v>29</v>
      </c>
      <c r="E53" s="9" t="s">
        <v>112</v>
      </c>
      <c r="F53" s="9" t="s">
        <v>113</v>
      </c>
      <c r="G53" s="25">
        <v>1070000</v>
      </c>
      <c r="H53" s="1"/>
      <c r="I53" s="70"/>
      <c r="J53" s="73"/>
      <c r="K53" s="74"/>
      <c r="L53" s="70"/>
      <c r="M53" s="74"/>
    </row>
    <row r="54" spans="1:28" ht="14.25" customHeight="1" x14ac:dyDescent="0.3">
      <c r="A54" s="1"/>
      <c r="B54" s="63"/>
      <c r="C54" s="8">
        <v>106797</v>
      </c>
      <c r="D54" s="17" t="s">
        <v>29</v>
      </c>
      <c r="E54" s="9" t="s">
        <v>114</v>
      </c>
      <c r="F54" s="9" t="s">
        <v>115</v>
      </c>
      <c r="G54" s="10">
        <v>91120.486111111109</v>
      </c>
      <c r="H54" s="1"/>
      <c r="I54" s="76"/>
      <c r="J54" s="73"/>
      <c r="K54" s="74"/>
      <c r="L54" s="70"/>
      <c r="M54" s="74"/>
    </row>
    <row r="55" spans="1:28" ht="14.25" customHeight="1" x14ac:dyDescent="0.3">
      <c r="A55" s="1"/>
      <c r="B55" s="63"/>
      <c r="C55" s="8">
        <v>107835</v>
      </c>
      <c r="D55" s="17" t="s">
        <v>29</v>
      </c>
      <c r="E55" s="9" t="s">
        <v>116</v>
      </c>
      <c r="F55" s="9" t="s">
        <v>117</v>
      </c>
      <c r="G55" s="10">
        <v>42440.509259259263</v>
      </c>
      <c r="H55" s="1"/>
      <c r="I55" s="77"/>
      <c r="J55" s="71"/>
      <c r="K55" s="74"/>
      <c r="L55" s="70"/>
      <c r="M55" s="74"/>
    </row>
    <row r="56" spans="1:28" ht="14.25" customHeight="1" x14ac:dyDescent="0.3">
      <c r="A56" s="1"/>
      <c r="B56" s="63"/>
      <c r="C56" s="8">
        <v>107837</v>
      </c>
      <c r="D56" s="17" t="s">
        <v>29</v>
      </c>
      <c r="E56" s="9" t="s">
        <v>118</v>
      </c>
      <c r="F56" s="9" t="s">
        <v>119</v>
      </c>
      <c r="G56" s="10">
        <v>7600410.3896103892</v>
      </c>
      <c r="H56" s="1"/>
      <c r="I56" s="76"/>
      <c r="J56" s="71"/>
      <c r="K56" s="74"/>
      <c r="L56" s="70"/>
      <c r="M56" s="74"/>
    </row>
    <row r="57" spans="1:28" ht="14.25" customHeight="1" x14ac:dyDescent="0.3">
      <c r="A57" s="1"/>
      <c r="B57" s="63"/>
      <c r="C57" s="8">
        <v>107836</v>
      </c>
      <c r="D57" s="17" t="s">
        <v>29</v>
      </c>
      <c r="E57" s="9" t="s">
        <v>120</v>
      </c>
      <c r="F57" s="9" t="s">
        <v>121</v>
      </c>
      <c r="G57" s="10">
        <v>13737687.5</v>
      </c>
      <c r="H57" s="1"/>
      <c r="I57" s="76"/>
      <c r="J57" s="71"/>
      <c r="K57" s="74"/>
      <c r="L57" s="70"/>
      <c r="M57" s="74"/>
    </row>
    <row r="58" spans="1:28" ht="14.25" customHeight="1" x14ac:dyDescent="0.3">
      <c r="A58" s="1"/>
      <c r="B58" s="63"/>
      <c r="C58" s="8">
        <v>106990</v>
      </c>
      <c r="D58" s="17" t="s">
        <v>29</v>
      </c>
      <c r="E58" s="9" t="s">
        <v>122</v>
      </c>
      <c r="F58" s="9" t="s">
        <v>123</v>
      </c>
      <c r="G58" s="10">
        <v>20155410</v>
      </c>
      <c r="H58" s="1"/>
      <c r="I58" s="76"/>
      <c r="J58" s="73"/>
      <c r="K58" s="74"/>
      <c r="L58" s="70"/>
      <c r="M58" s="74"/>
    </row>
    <row r="59" spans="1:28" ht="14.25" customHeight="1" x14ac:dyDescent="0.3">
      <c r="A59" s="1"/>
      <c r="B59" s="32"/>
      <c r="C59" s="8">
        <v>108051</v>
      </c>
      <c r="D59" s="17" t="s">
        <v>29</v>
      </c>
      <c r="E59" s="9" t="s">
        <v>124</v>
      </c>
      <c r="F59" s="9" t="s">
        <v>125</v>
      </c>
      <c r="G59" s="10">
        <v>87780</v>
      </c>
      <c r="H59" s="1"/>
      <c r="I59" s="76"/>
      <c r="J59" s="71"/>
      <c r="K59" s="74"/>
      <c r="L59" s="70"/>
      <c r="M59" s="74"/>
    </row>
    <row r="60" spans="1:28" ht="14.25" customHeight="1" thickBot="1" x14ac:dyDescent="0.35">
      <c r="A60" s="1"/>
      <c r="B60" s="32"/>
      <c r="C60" s="33">
        <v>108052</v>
      </c>
      <c r="D60" s="34" t="s">
        <v>29</v>
      </c>
      <c r="E60" s="35" t="s">
        <v>126</v>
      </c>
      <c r="F60" s="35" t="s">
        <v>127</v>
      </c>
      <c r="G60" s="36">
        <v>125020</v>
      </c>
      <c r="H60" s="1"/>
      <c r="I60" s="76"/>
      <c r="J60" s="71"/>
      <c r="K60" s="74"/>
      <c r="L60" s="70"/>
      <c r="M60" s="74"/>
      <c r="N60" s="73"/>
      <c r="O60" s="74"/>
      <c r="P60" s="70"/>
    </row>
    <row r="61" spans="1:28" ht="15.75" customHeight="1" x14ac:dyDescent="0.3">
      <c r="A61" s="1"/>
      <c r="B61" s="67" t="s">
        <v>128</v>
      </c>
      <c r="C61" s="37">
        <v>107854</v>
      </c>
      <c r="D61" s="6" t="s">
        <v>29</v>
      </c>
      <c r="E61" s="6" t="s">
        <v>129</v>
      </c>
      <c r="F61" s="38" t="s">
        <v>130</v>
      </c>
      <c r="G61" s="7">
        <v>409640</v>
      </c>
      <c r="H61" s="1"/>
      <c r="I61" s="76"/>
      <c r="J61" s="71"/>
      <c r="K61" s="74"/>
      <c r="L61" s="70"/>
      <c r="M61" s="74"/>
    </row>
    <row r="62" spans="1:28" ht="15.75" customHeight="1" x14ac:dyDescent="0.3">
      <c r="A62" s="1"/>
      <c r="B62" s="63"/>
      <c r="C62" s="26">
        <v>107840</v>
      </c>
      <c r="D62" s="9" t="s">
        <v>29</v>
      </c>
      <c r="E62" s="9" t="s">
        <v>131</v>
      </c>
      <c r="F62" s="27" t="s">
        <v>132</v>
      </c>
      <c r="G62" s="10">
        <v>730187.5</v>
      </c>
      <c r="H62" s="1"/>
      <c r="I62" s="76"/>
      <c r="J62" s="71"/>
      <c r="K62" s="74"/>
      <c r="L62" s="70"/>
      <c r="M62" s="74"/>
    </row>
    <row r="63" spans="1:28" ht="16.5" customHeight="1" x14ac:dyDescent="0.3">
      <c r="A63" s="1"/>
      <c r="B63" s="63"/>
      <c r="C63" s="26">
        <v>106678</v>
      </c>
      <c r="D63" s="9" t="s">
        <v>29</v>
      </c>
      <c r="E63" s="9" t="s">
        <v>133</v>
      </c>
      <c r="F63" s="27" t="s">
        <v>134</v>
      </c>
      <c r="G63" s="10">
        <v>76822.048611111109</v>
      </c>
      <c r="H63" s="1"/>
      <c r="I63" s="76"/>
      <c r="J63" s="71"/>
      <c r="K63" s="74"/>
      <c r="L63" s="70"/>
      <c r="M63" s="74"/>
    </row>
    <row r="64" spans="1:28" ht="14.25" customHeight="1" x14ac:dyDescent="0.3">
      <c r="A64" s="1"/>
      <c r="B64" s="63"/>
      <c r="C64" s="26">
        <v>106676</v>
      </c>
      <c r="D64" s="9" t="s">
        <v>29</v>
      </c>
      <c r="E64" s="9" t="s">
        <v>135</v>
      </c>
      <c r="F64" s="27" t="s">
        <v>136</v>
      </c>
      <c r="G64" s="10">
        <v>140577.43055555556</v>
      </c>
      <c r="H64" s="1"/>
      <c r="I64" s="76"/>
      <c r="J64" s="71"/>
      <c r="K64" s="74"/>
      <c r="L64" s="70"/>
      <c r="M64" s="74"/>
    </row>
    <row r="65" spans="1:13" ht="14.25" customHeight="1" x14ac:dyDescent="0.3">
      <c r="A65" s="1"/>
      <c r="B65" s="63"/>
      <c r="C65" s="26">
        <v>106675</v>
      </c>
      <c r="D65" s="9" t="s">
        <v>29</v>
      </c>
      <c r="E65" s="9" t="s">
        <v>137</v>
      </c>
      <c r="F65" s="9" t="s">
        <v>138</v>
      </c>
      <c r="G65" s="10">
        <v>52705.882352941197</v>
      </c>
      <c r="H65" s="1"/>
      <c r="I65" s="76"/>
      <c r="J65" s="70"/>
      <c r="K65" s="70"/>
      <c r="L65" s="71"/>
      <c r="M65" s="74"/>
    </row>
    <row r="66" spans="1:13" ht="14.25" customHeight="1" thickBot="1" x14ac:dyDescent="0.35">
      <c r="A66" s="1"/>
      <c r="B66" s="68"/>
      <c r="C66" s="39">
        <v>106677</v>
      </c>
      <c r="D66" s="13" t="s">
        <v>29</v>
      </c>
      <c r="E66" s="13" t="s">
        <v>139</v>
      </c>
      <c r="F66" s="13" t="s">
        <v>140</v>
      </c>
      <c r="G66" s="14">
        <v>81200</v>
      </c>
      <c r="H66" s="1"/>
      <c r="I66" s="76"/>
      <c r="J66" s="70"/>
      <c r="K66" s="70"/>
      <c r="L66" s="71"/>
      <c r="M66" s="78"/>
    </row>
    <row r="67" spans="1:13" ht="15.75" customHeight="1" x14ac:dyDescent="0.3">
      <c r="A67" s="1"/>
      <c r="B67" s="58" t="s">
        <v>141</v>
      </c>
      <c r="C67" s="24">
        <v>106673</v>
      </c>
      <c r="D67" s="17" t="s">
        <v>142</v>
      </c>
      <c r="E67" s="40" t="s">
        <v>143</v>
      </c>
      <c r="F67" s="18"/>
      <c r="G67" s="25">
        <v>688</v>
      </c>
      <c r="H67" s="1"/>
      <c r="I67" s="76"/>
      <c r="J67" s="70"/>
      <c r="K67" s="70"/>
      <c r="L67" s="71"/>
      <c r="M67" s="74"/>
    </row>
    <row r="68" spans="1:13" ht="14.25" customHeight="1" x14ac:dyDescent="0.3">
      <c r="A68" s="1"/>
      <c r="B68" s="59"/>
      <c r="C68" s="26">
        <v>106672</v>
      </c>
      <c r="D68" s="9" t="s">
        <v>142</v>
      </c>
      <c r="E68" s="9" t="s">
        <v>144</v>
      </c>
      <c r="F68" s="41"/>
      <c r="G68" s="10">
        <v>288</v>
      </c>
      <c r="H68" s="1"/>
      <c r="I68" s="76"/>
      <c r="J68" s="70"/>
      <c r="K68" s="70"/>
      <c r="L68" s="79"/>
      <c r="M68" s="80"/>
    </row>
    <row r="69" spans="1:13" ht="14.25" customHeight="1" x14ac:dyDescent="0.3">
      <c r="A69" s="1"/>
      <c r="B69" s="59"/>
      <c r="C69" s="26">
        <v>106671</v>
      </c>
      <c r="D69" s="9" t="s">
        <v>142</v>
      </c>
      <c r="E69" s="9" t="s">
        <v>145</v>
      </c>
      <c r="F69" s="9"/>
      <c r="G69" s="30">
        <v>1100</v>
      </c>
      <c r="H69" s="11"/>
      <c r="I69" s="76"/>
      <c r="J69" s="70"/>
      <c r="K69" s="70"/>
      <c r="L69" s="70"/>
      <c r="M69" s="70"/>
    </row>
    <row r="70" spans="1:13" ht="14.25" customHeight="1" x14ac:dyDescent="0.3">
      <c r="A70" s="1"/>
      <c r="B70" s="59"/>
      <c r="C70" s="24">
        <v>106670</v>
      </c>
      <c r="D70" s="17" t="s">
        <v>142</v>
      </c>
      <c r="E70" s="17" t="s">
        <v>146</v>
      </c>
      <c r="F70" s="18"/>
      <c r="G70" s="25">
        <v>1904</v>
      </c>
      <c r="H70" s="1"/>
      <c r="I70" s="1"/>
    </row>
    <row r="71" spans="1:13" ht="14.25" customHeight="1" x14ac:dyDescent="0.3">
      <c r="A71" s="1"/>
      <c r="B71" s="59"/>
      <c r="C71" s="26">
        <v>106669</v>
      </c>
      <c r="D71" s="9" t="s">
        <v>142</v>
      </c>
      <c r="E71" s="9" t="s">
        <v>147</v>
      </c>
      <c r="F71" s="41"/>
      <c r="G71" s="10">
        <v>1920</v>
      </c>
      <c r="H71" s="1"/>
      <c r="I71" s="1"/>
    </row>
    <row r="72" spans="1:13" ht="14.25" customHeight="1" x14ac:dyDescent="0.3">
      <c r="A72" s="1"/>
      <c r="B72" s="59"/>
      <c r="C72" s="26">
        <v>106668</v>
      </c>
      <c r="D72" s="9" t="s">
        <v>142</v>
      </c>
      <c r="E72" s="9" t="s">
        <v>148</v>
      </c>
      <c r="F72" s="41"/>
      <c r="G72" s="10">
        <v>1888</v>
      </c>
      <c r="H72" s="11">
        <v>8</v>
      </c>
      <c r="I72" s="1"/>
    </row>
    <row r="73" spans="1:13" ht="14.25" customHeight="1" x14ac:dyDescent="0.3">
      <c r="A73" s="1"/>
      <c r="B73" s="59"/>
      <c r="C73" s="26">
        <v>106709</v>
      </c>
      <c r="D73" s="9" t="s">
        <v>142</v>
      </c>
      <c r="E73" s="9" t="s">
        <v>149</v>
      </c>
      <c r="F73" s="41"/>
      <c r="G73" s="10">
        <v>4768</v>
      </c>
      <c r="H73" s="1"/>
      <c r="I73" s="1"/>
    </row>
    <row r="74" spans="1:13" ht="14.25" customHeight="1" x14ac:dyDescent="0.3">
      <c r="A74" s="1"/>
      <c r="B74" s="59"/>
      <c r="C74" s="26">
        <v>107651</v>
      </c>
      <c r="D74" s="9" t="s">
        <v>142</v>
      </c>
      <c r="E74" s="9" t="s">
        <v>150</v>
      </c>
      <c r="F74" s="41"/>
      <c r="G74" s="10">
        <f>(698272/200)/(1-0.35)</f>
        <v>5371.3230769230768</v>
      </c>
      <c r="H74" s="11"/>
      <c r="I74" s="1"/>
    </row>
    <row r="75" spans="1:13" ht="14.25" customHeight="1" x14ac:dyDescent="0.3">
      <c r="A75" s="1"/>
      <c r="B75" s="59"/>
      <c r="C75" s="26">
        <v>106708</v>
      </c>
      <c r="D75" s="9" t="s">
        <v>142</v>
      </c>
      <c r="E75" s="9" t="s">
        <v>151</v>
      </c>
      <c r="F75" s="41"/>
      <c r="G75" s="10">
        <v>7024</v>
      </c>
      <c r="H75" s="1">
        <v>8</v>
      </c>
      <c r="I75" s="15">
        <f>G72*H72</f>
        <v>15104</v>
      </c>
      <c r="J75" s="9" t="s">
        <v>148</v>
      </c>
    </row>
    <row r="76" spans="1:13" ht="14.25" customHeight="1" x14ac:dyDescent="0.3">
      <c r="A76" s="1"/>
      <c r="B76" s="59"/>
      <c r="C76" s="26">
        <v>107649</v>
      </c>
      <c r="D76" s="9" t="s">
        <v>142</v>
      </c>
      <c r="E76" s="9" t="s">
        <v>152</v>
      </c>
      <c r="F76" s="41"/>
      <c r="G76" s="10">
        <f>6903600/640/(1-0.2)</f>
        <v>13483.59375</v>
      </c>
      <c r="H76" s="1"/>
      <c r="I76" s="15">
        <f>G73*H73</f>
        <v>0</v>
      </c>
    </row>
    <row r="77" spans="1:13" ht="14.25" customHeight="1" x14ac:dyDescent="0.3">
      <c r="A77" s="1"/>
      <c r="B77" s="59"/>
      <c r="C77" s="26">
        <v>107650</v>
      </c>
      <c r="D77" s="9" t="s">
        <v>142</v>
      </c>
      <c r="E77" s="9" t="s">
        <v>153</v>
      </c>
      <c r="F77" s="41"/>
      <c r="G77" s="10">
        <v>15611.613839285716</v>
      </c>
      <c r="H77" s="1"/>
      <c r="I77" s="15">
        <f t="shared" ref="I76:I88" si="7">G74*H74</f>
        <v>0</v>
      </c>
    </row>
    <row r="78" spans="1:13" ht="14.25" customHeight="1" x14ac:dyDescent="0.3">
      <c r="A78" s="1"/>
      <c r="B78" s="59"/>
      <c r="C78" s="26">
        <v>106665</v>
      </c>
      <c r="D78" s="9" t="s">
        <v>142</v>
      </c>
      <c r="E78" s="9" t="s">
        <v>154</v>
      </c>
      <c r="F78" s="41"/>
      <c r="G78" s="10">
        <v>1200</v>
      </c>
      <c r="H78" s="1"/>
      <c r="I78" s="15">
        <f>G75*H75</f>
        <v>56192</v>
      </c>
      <c r="J78" s="9" t="s">
        <v>151</v>
      </c>
    </row>
    <row r="79" spans="1:13" ht="14.25" customHeight="1" x14ac:dyDescent="0.3">
      <c r="A79" s="1"/>
      <c r="B79" s="59"/>
      <c r="C79" s="26">
        <v>106664</v>
      </c>
      <c r="D79" s="9" t="s">
        <v>142</v>
      </c>
      <c r="E79" s="9" t="s">
        <v>155</v>
      </c>
      <c r="F79" s="9"/>
      <c r="G79" s="30">
        <v>496</v>
      </c>
      <c r="H79" s="11">
        <v>4</v>
      </c>
      <c r="I79" s="15">
        <f t="shared" si="7"/>
        <v>0</v>
      </c>
    </row>
    <row r="80" spans="1:13" ht="14.25" customHeight="1" x14ac:dyDescent="0.3">
      <c r="A80" s="1"/>
      <c r="B80" s="59"/>
      <c r="C80" s="26">
        <v>106707</v>
      </c>
      <c r="D80" s="9" t="s">
        <v>142</v>
      </c>
      <c r="E80" s="9" t="s">
        <v>156</v>
      </c>
      <c r="F80" s="9"/>
      <c r="G80" s="30">
        <v>496</v>
      </c>
      <c r="H80" s="11">
        <v>14</v>
      </c>
      <c r="I80" s="15">
        <f t="shared" si="7"/>
        <v>0</v>
      </c>
    </row>
    <row r="81" spans="1:10" ht="14.25" customHeight="1" x14ac:dyDescent="0.3">
      <c r="A81" s="1"/>
      <c r="B81" s="59"/>
      <c r="C81" s="26">
        <v>106706</v>
      </c>
      <c r="D81" s="9" t="s">
        <v>142</v>
      </c>
      <c r="E81" s="9" t="s">
        <v>157</v>
      </c>
      <c r="F81" s="9"/>
      <c r="G81" s="30">
        <v>432</v>
      </c>
      <c r="H81" s="11">
        <v>2</v>
      </c>
      <c r="I81" s="15">
        <f t="shared" si="7"/>
        <v>0</v>
      </c>
    </row>
    <row r="82" spans="1:10" ht="14.25" customHeight="1" x14ac:dyDescent="0.3">
      <c r="A82" s="1"/>
      <c r="B82" s="59"/>
      <c r="C82" s="24">
        <v>107682</v>
      </c>
      <c r="D82" s="9" t="s">
        <v>142</v>
      </c>
      <c r="E82" s="9" t="s">
        <v>158</v>
      </c>
      <c r="F82" s="9"/>
      <c r="G82" s="30">
        <v>18320</v>
      </c>
      <c r="H82" s="11">
        <v>4</v>
      </c>
      <c r="I82" s="15">
        <f>G79*H79</f>
        <v>1984</v>
      </c>
      <c r="J82" s="9" t="s">
        <v>155</v>
      </c>
    </row>
    <row r="83" spans="1:10" ht="14.25" customHeight="1" x14ac:dyDescent="0.3">
      <c r="A83" s="1"/>
      <c r="B83" s="59"/>
      <c r="C83" s="26">
        <v>107648</v>
      </c>
      <c r="D83" s="9" t="s">
        <v>142</v>
      </c>
      <c r="E83" s="9" t="s">
        <v>159</v>
      </c>
      <c r="F83" s="9"/>
      <c r="G83" s="30">
        <f>151/(1-0.2)</f>
        <v>188.75</v>
      </c>
      <c r="H83" s="1"/>
      <c r="I83" s="15">
        <f>G80*H80</f>
        <v>6944</v>
      </c>
      <c r="J83" s="9" t="s">
        <v>156</v>
      </c>
    </row>
    <row r="84" spans="1:10" ht="14.25" customHeight="1" x14ac:dyDescent="0.3">
      <c r="A84" s="1"/>
      <c r="B84" s="59"/>
      <c r="C84" s="26">
        <v>106704</v>
      </c>
      <c r="D84" s="9" t="s">
        <v>142</v>
      </c>
      <c r="E84" s="9" t="s">
        <v>160</v>
      </c>
      <c r="F84" s="9"/>
      <c r="G84" s="30">
        <v>240</v>
      </c>
      <c r="H84" s="11"/>
      <c r="I84" s="15">
        <f t="shared" si="7"/>
        <v>864</v>
      </c>
    </row>
    <row r="85" spans="1:10" ht="14.25" customHeight="1" x14ac:dyDescent="0.3">
      <c r="A85" s="1"/>
      <c r="B85" s="59"/>
      <c r="C85" s="26">
        <v>107681</v>
      </c>
      <c r="D85" s="17" t="s">
        <v>142</v>
      </c>
      <c r="E85" s="17" t="s">
        <v>161</v>
      </c>
      <c r="F85" s="18"/>
      <c r="G85" s="25">
        <v>2500</v>
      </c>
      <c r="H85" s="11">
        <v>2</v>
      </c>
      <c r="I85" s="15">
        <f t="shared" si="7"/>
        <v>73280</v>
      </c>
    </row>
    <row r="86" spans="1:10" ht="14.25" customHeight="1" x14ac:dyDescent="0.3">
      <c r="A86" s="1"/>
      <c r="B86" s="59"/>
      <c r="C86" s="26">
        <v>106702</v>
      </c>
      <c r="D86" s="9" t="s">
        <v>142</v>
      </c>
      <c r="E86" s="9" t="s">
        <v>162</v>
      </c>
      <c r="F86" s="41"/>
      <c r="G86" s="10">
        <v>250349</v>
      </c>
      <c r="H86" s="1"/>
      <c r="I86" s="15">
        <f t="shared" si="7"/>
        <v>0</v>
      </c>
    </row>
    <row r="87" spans="1:10" ht="14.25" customHeight="1" x14ac:dyDescent="0.3">
      <c r="A87" s="1"/>
      <c r="B87" s="59"/>
      <c r="C87" s="26">
        <v>106701</v>
      </c>
      <c r="D87" s="9" t="s">
        <v>142</v>
      </c>
      <c r="E87" s="9" t="s">
        <v>163</v>
      </c>
      <c r="F87" s="41"/>
      <c r="G87" s="10">
        <v>280349</v>
      </c>
      <c r="H87" s="1"/>
      <c r="I87" s="15">
        <f t="shared" si="7"/>
        <v>0</v>
      </c>
    </row>
    <row r="88" spans="1:10" ht="14.25" customHeight="1" x14ac:dyDescent="0.3">
      <c r="A88" s="1"/>
      <c r="B88" s="59"/>
      <c r="C88" s="26">
        <v>107542</v>
      </c>
      <c r="D88" s="9" t="s">
        <v>142</v>
      </c>
      <c r="E88" s="9" t="s">
        <v>164</v>
      </c>
      <c r="F88" s="41"/>
      <c r="G88" s="10">
        <v>356840</v>
      </c>
      <c r="H88" s="1"/>
      <c r="I88" s="15">
        <f>G85*H85</f>
        <v>5000</v>
      </c>
    </row>
    <row r="89" spans="1:10" ht="14.25" customHeight="1" x14ac:dyDescent="0.3">
      <c r="A89" s="1"/>
      <c r="B89" s="59"/>
      <c r="C89" s="26">
        <v>107541</v>
      </c>
      <c r="D89" s="9" t="s">
        <v>142</v>
      </c>
      <c r="E89" s="9" t="s">
        <v>165</v>
      </c>
      <c r="F89" s="41"/>
      <c r="G89" s="10">
        <f>207612/(1-0.45)</f>
        <v>377476.36363636359</v>
      </c>
      <c r="H89" s="1"/>
      <c r="I89" s="15">
        <f>SUM(I75:I88)</f>
        <v>159368</v>
      </c>
    </row>
    <row r="90" spans="1:10" ht="14.25" customHeight="1" x14ac:dyDescent="0.3">
      <c r="A90" s="1"/>
      <c r="B90" s="59"/>
      <c r="C90" s="26">
        <v>106700</v>
      </c>
      <c r="D90" s="9" t="s">
        <v>142</v>
      </c>
      <c r="E90" s="9" t="s">
        <v>166</v>
      </c>
      <c r="F90" s="41"/>
      <c r="G90" s="10">
        <v>1472</v>
      </c>
      <c r="H90" s="1"/>
      <c r="I90" s="1"/>
    </row>
    <row r="91" spans="1:10" ht="14.25" customHeight="1" x14ac:dyDescent="0.3">
      <c r="A91" s="1"/>
      <c r="B91" s="59"/>
      <c r="C91" s="26">
        <v>106699</v>
      </c>
      <c r="D91" s="9" t="s">
        <v>142</v>
      </c>
      <c r="E91" s="9" t="s">
        <v>167</v>
      </c>
      <c r="F91" s="41"/>
      <c r="G91" s="10">
        <v>432</v>
      </c>
      <c r="H91" s="1"/>
      <c r="I91" s="1"/>
    </row>
    <row r="92" spans="1:10" ht="14.25" customHeight="1" x14ac:dyDescent="0.3">
      <c r="A92" s="1"/>
      <c r="B92" s="59"/>
      <c r="C92" s="26">
        <v>106720</v>
      </c>
      <c r="D92" s="9" t="s">
        <v>142</v>
      </c>
      <c r="E92" s="9" t="s">
        <v>168</v>
      </c>
      <c r="F92" s="41"/>
      <c r="G92" s="10">
        <v>43333</v>
      </c>
      <c r="H92" s="1"/>
      <c r="I92" s="1"/>
    </row>
    <row r="93" spans="1:10" ht="14.25" customHeight="1" x14ac:dyDescent="0.3">
      <c r="A93" s="1"/>
      <c r="B93" s="59"/>
      <c r="C93" s="26">
        <v>106718</v>
      </c>
      <c r="D93" s="9" t="s">
        <v>142</v>
      </c>
      <c r="E93" s="9" t="s">
        <v>169</v>
      </c>
      <c r="F93" s="41"/>
      <c r="G93" s="10">
        <v>496</v>
      </c>
      <c r="H93" s="1"/>
      <c r="I93" s="1"/>
    </row>
    <row r="94" spans="1:10" ht="14.25" customHeight="1" x14ac:dyDescent="0.3">
      <c r="A94" s="1"/>
      <c r="B94" s="59"/>
      <c r="C94" s="26">
        <v>106719</v>
      </c>
      <c r="D94" s="9" t="s">
        <v>142</v>
      </c>
      <c r="E94" s="9" t="s">
        <v>170</v>
      </c>
      <c r="F94" s="41"/>
      <c r="G94" s="10">
        <v>736</v>
      </c>
      <c r="H94" s="1"/>
      <c r="I94" s="1"/>
    </row>
    <row r="95" spans="1:10" ht="14.25" customHeight="1" thickBot="1" x14ac:dyDescent="0.35">
      <c r="A95" s="1"/>
      <c r="B95" s="59"/>
      <c r="C95" s="42">
        <v>106717</v>
      </c>
      <c r="D95" s="35" t="s">
        <v>142</v>
      </c>
      <c r="E95" s="35" t="s">
        <v>171</v>
      </c>
      <c r="F95" s="43"/>
      <c r="G95" s="36">
        <v>3040</v>
      </c>
      <c r="H95" s="1"/>
      <c r="I95" s="1"/>
    </row>
    <row r="96" spans="1:10" ht="14.25" customHeight="1" x14ac:dyDescent="0.3">
      <c r="A96" s="1"/>
      <c r="B96" s="60" t="s">
        <v>172</v>
      </c>
      <c r="C96" s="37">
        <v>106745</v>
      </c>
      <c r="D96" s="6" t="s">
        <v>173</v>
      </c>
      <c r="E96" s="6" t="s">
        <v>174</v>
      </c>
      <c r="F96" s="6"/>
      <c r="G96" s="7">
        <v>47392.5</v>
      </c>
      <c r="H96" s="15">
        <f>G96/50</f>
        <v>947.85</v>
      </c>
      <c r="I96" s="1"/>
    </row>
    <row r="97" spans="1:9" ht="14.25" customHeight="1" x14ac:dyDescent="0.3">
      <c r="A97" s="1"/>
      <c r="B97" s="59"/>
      <c r="C97" s="26">
        <v>106746</v>
      </c>
      <c r="D97" s="9" t="s">
        <v>173</v>
      </c>
      <c r="E97" s="9" t="s">
        <v>175</v>
      </c>
      <c r="F97" s="9"/>
      <c r="G97" s="10">
        <v>47392.5</v>
      </c>
      <c r="H97" s="1"/>
      <c r="I97" s="1"/>
    </row>
    <row r="98" spans="1:9" ht="14.25" customHeight="1" x14ac:dyDescent="0.3">
      <c r="A98" s="1"/>
      <c r="B98" s="59"/>
      <c r="C98" s="26">
        <v>106747</v>
      </c>
      <c r="D98" s="9" t="s">
        <v>173</v>
      </c>
      <c r="E98" s="9" t="s">
        <v>176</v>
      </c>
      <c r="F98" s="9"/>
      <c r="G98" s="10">
        <v>80682.124999999985</v>
      </c>
      <c r="H98" s="1"/>
      <c r="I98" s="1"/>
    </row>
    <row r="99" spans="1:9" ht="14.25" customHeight="1" x14ac:dyDescent="0.3">
      <c r="A99" s="1"/>
      <c r="B99" s="59"/>
      <c r="C99" s="26">
        <v>106748</v>
      </c>
      <c r="D99" s="9" t="s">
        <v>173</v>
      </c>
      <c r="E99" s="9" t="s">
        <v>177</v>
      </c>
      <c r="F99" s="9"/>
      <c r="G99" s="10">
        <v>80606.411290322576</v>
      </c>
      <c r="H99" s="1"/>
      <c r="I99" s="1"/>
    </row>
    <row r="100" spans="1:9" ht="14.25" customHeight="1" x14ac:dyDescent="0.3">
      <c r="A100" s="1"/>
      <c r="B100" s="59"/>
      <c r="C100" s="26">
        <v>106749</v>
      </c>
      <c r="D100" s="9" t="s">
        <v>173</v>
      </c>
      <c r="E100" s="9" t="s">
        <v>178</v>
      </c>
      <c r="F100" s="9"/>
      <c r="G100" s="10">
        <v>27238.21875</v>
      </c>
      <c r="H100" s="1"/>
      <c r="I100" s="1"/>
    </row>
    <row r="101" spans="1:9" ht="14.25" customHeight="1" x14ac:dyDescent="0.3">
      <c r="A101" s="1"/>
      <c r="B101" s="59"/>
      <c r="C101" s="26">
        <v>106750</v>
      </c>
      <c r="D101" s="9" t="s">
        <v>173</v>
      </c>
      <c r="E101" s="9" t="s">
        <v>179</v>
      </c>
      <c r="F101" s="9"/>
      <c r="G101" s="10">
        <v>27224.970238095237</v>
      </c>
      <c r="H101" s="1"/>
      <c r="I101" s="1"/>
    </row>
    <row r="102" spans="1:9" ht="14.25" customHeight="1" x14ac:dyDescent="0.3">
      <c r="A102" s="1"/>
      <c r="B102" s="59"/>
      <c r="C102" s="26">
        <v>106751</v>
      </c>
      <c r="D102" s="9" t="s">
        <v>173</v>
      </c>
      <c r="E102" s="9" t="s">
        <v>180</v>
      </c>
      <c r="F102" s="9"/>
      <c r="G102" s="10">
        <v>70132.8125</v>
      </c>
      <c r="H102" s="1"/>
      <c r="I102" s="1"/>
    </row>
    <row r="103" spans="1:9" ht="14.25" customHeight="1" x14ac:dyDescent="0.3">
      <c r="A103" s="1"/>
      <c r="B103" s="59"/>
      <c r="C103" s="26">
        <v>106752</v>
      </c>
      <c r="D103" s="9" t="s">
        <v>173</v>
      </c>
      <c r="E103" s="9" t="s">
        <v>181</v>
      </c>
      <c r="F103" s="9"/>
      <c r="G103" s="10">
        <v>68871.964285714275</v>
      </c>
      <c r="H103" s="1"/>
      <c r="I103" s="1"/>
    </row>
    <row r="104" spans="1:9" ht="14.25" customHeight="1" x14ac:dyDescent="0.3">
      <c r="A104" s="1"/>
      <c r="B104" s="59"/>
      <c r="C104" s="26">
        <v>107810</v>
      </c>
      <c r="D104" s="9" t="s">
        <v>173</v>
      </c>
      <c r="E104" s="9" t="s">
        <v>182</v>
      </c>
      <c r="F104" s="9"/>
      <c r="G104" s="10">
        <v>145329.33333333334</v>
      </c>
      <c r="H104" s="1"/>
      <c r="I104" s="1"/>
    </row>
    <row r="105" spans="1:9" ht="14.25" customHeight="1" x14ac:dyDescent="0.3">
      <c r="A105" s="1"/>
      <c r="B105" s="59"/>
      <c r="C105" s="26">
        <v>107809</v>
      </c>
      <c r="D105" s="9" t="s">
        <v>173</v>
      </c>
      <c r="E105" s="9" t="s">
        <v>183</v>
      </c>
      <c r="F105" s="9"/>
      <c r="G105" s="10">
        <v>145329.33333333334</v>
      </c>
      <c r="H105" s="1"/>
      <c r="I105" s="1"/>
    </row>
    <row r="106" spans="1:9" ht="14.25" customHeight="1" x14ac:dyDescent="0.3">
      <c r="A106" s="1"/>
      <c r="B106" s="59"/>
      <c r="C106" s="26">
        <v>107807</v>
      </c>
      <c r="D106" s="9" t="s">
        <v>173</v>
      </c>
      <c r="E106" s="9" t="s">
        <v>184</v>
      </c>
      <c r="F106" s="9"/>
      <c r="G106" s="10">
        <v>173797.33333333334</v>
      </c>
      <c r="H106" s="1"/>
      <c r="I106" s="1"/>
    </row>
    <row r="107" spans="1:9" ht="14.25" customHeight="1" x14ac:dyDescent="0.3">
      <c r="A107" s="1"/>
      <c r="B107" s="59"/>
      <c r="C107" s="26">
        <v>107808</v>
      </c>
      <c r="D107" s="9" t="s">
        <v>173</v>
      </c>
      <c r="E107" s="9" t="s">
        <v>185</v>
      </c>
      <c r="F107" s="9"/>
      <c r="G107" s="10">
        <v>173797.33333333334</v>
      </c>
      <c r="H107" s="1"/>
      <c r="I107" s="1"/>
    </row>
    <row r="108" spans="1:9" ht="14.25" customHeight="1" x14ac:dyDescent="0.3">
      <c r="A108" s="1"/>
      <c r="B108" s="59"/>
      <c r="C108" s="26">
        <v>107804</v>
      </c>
      <c r="D108" s="9" t="s">
        <v>173</v>
      </c>
      <c r="E108" s="9" t="s">
        <v>186</v>
      </c>
      <c r="F108" s="9"/>
      <c r="G108" s="10">
        <v>483573.75</v>
      </c>
      <c r="H108" s="1"/>
      <c r="I108" s="1"/>
    </row>
    <row r="109" spans="1:9" ht="14.25" customHeight="1" x14ac:dyDescent="0.3">
      <c r="A109" s="1"/>
      <c r="B109" s="59"/>
      <c r="C109" s="29">
        <v>107819</v>
      </c>
      <c r="D109" s="9" t="s">
        <v>173</v>
      </c>
      <c r="E109" s="26" t="s">
        <v>187</v>
      </c>
      <c r="F109" s="9"/>
      <c r="G109" s="10">
        <v>483573.75</v>
      </c>
      <c r="H109" s="1"/>
      <c r="I109" s="1"/>
    </row>
    <row r="110" spans="1:9" ht="14.25" customHeight="1" x14ac:dyDescent="0.3">
      <c r="A110" s="1"/>
      <c r="B110" s="59"/>
      <c r="C110" s="29">
        <v>107805</v>
      </c>
      <c r="D110" s="26" t="s">
        <v>173</v>
      </c>
      <c r="E110" s="9" t="s">
        <v>188</v>
      </c>
      <c r="F110" s="26"/>
      <c r="G110" s="10">
        <v>5001.333333333333</v>
      </c>
      <c r="H110" s="1"/>
      <c r="I110" s="1"/>
    </row>
    <row r="111" spans="1:9" ht="14.25" customHeight="1" thickBot="1" x14ac:dyDescent="0.35">
      <c r="A111" s="1"/>
      <c r="B111" s="61"/>
      <c r="C111" s="39">
        <v>107806</v>
      </c>
      <c r="D111" s="13" t="s">
        <v>173</v>
      </c>
      <c r="E111" s="13" t="s">
        <v>189</v>
      </c>
      <c r="F111" s="39"/>
      <c r="G111" s="14">
        <v>81510</v>
      </c>
      <c r="H111" s="1"/>
      <c r="I111" s="1"/>
    </row>
    <row r="112" spans="1:9" ht="14.25" customHeight="1" x14ac:dyDescent="0.3">
      <c r="A112" s="1"/>
      <c r="B112" s="1"/>
      <c r="C112" s="11">
        <v>108443</v>
      </c>
      <c r="D112" s="1"/>
      <c r="E112" s="1"/>
      <c r="F112" s="1"/>
      <c r="G112" s="1"/>
      <c r="H112" s="1"/>
      <c r="I112" s="1"/>
    </row>
    <row r="113" spans="1:9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3">
      <c r="I310" s="1"/>
    </row>
    <row r="311" spans="1:9" ht="15.75" customHeight="1" x14ac:dyDescent="0.3">
      <c r="I311" s="1"/>
    </row>
    <row r="312" spans="1:9" ht="15.75" customHeight="1" x14ac:dyDescent="0.3">
      <c r="I312" s="1"/>
    </row>
    <row r="313" spans="1:9" ht="15.75" customHeight="1" x14ac:dyDescent="0.3"/>
    <row r="314" spans="1:9" ht="15.75" customHeight="1" x14ac:dyDescent="0.3"/>
    <row r="315" spans="1:9" ht="15.75" customHeight="1" x14ac:dyDescent="0.3"/>
    <row r="316" spans="1:9" ht="15.75" customHeight="1" x14ac:dyDescent="0.3"/>
    <row r="317" spans="1:9" ht="15.75" customHeight="1" x14ac:dyDescent="0.3"/>
    <row r="318" spans="1:9" ht="15.75" customHeight="1" x14ac:dyDescent="0.3"/>
    <row r="319" spans="1:9" ht="15.75" customHeight="1" x14ac:dyDescent="0.3"/>
    <row r="320" spans="1:9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W112" xr:uid="{00000000-0009-0000-0000-000000000000}"/>
  <mergeCells count="23">
    <mergeCell ref="I6:M8"/>
    <mergeCell ref="N6:R8"/>
    <mergeCell ref="S6:W8"/>
    <mergeCell ref="X6:AB8"/>
    <mergeCell ref="I32:M34"/>
    <mergeCell ref="N32:R34"/>
    <mergeCell ref="S32:W34"/>
    <mergeCell ref="X32:AB34"/>
    <mergeCell ref="O35:R35"/>
    <mergeCell ref="T35:W35"/>
    <mergeCell ref="Y35:AB35"/>
    <mergeCell ref="O9:R9"/>
    <mergeCell ref="T9:W9"/>
    <mergeCell ref="Y9:AB9"/>
    <mergeCell ref="J9:M9"/>
    <mergeCell ref="B67:B95"/>
    <mergeCell ref="B96:B111"/>
    <mergeCell ref="B2:B8"/>
    <mergeCell ref="B9:B10"/>
    <mergeCell ref="B11:B46"/>
    <mergeCell ref="B49:B58"/>
    <mergeCell ref="B61:B66"/>
    <mergeCell ref="J35:M3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7279-E4D5-4632-9BAF-58F62AD713FF}">
  <dimension ref="A1"/>
  <sheetViews>
    <sheetView workbookViewId="0">
      <selection activeCell="L31" sqref="L3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 Solar Prodalam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Anrique</dc:creator>
  <cp:lastModifiedBy>Ismael Barra</cp:lastModifiedBy>
  <dcterms:created xsi:type="dcterms:W3CDTF">2025-08-04T20:22:00Z</dcterms:created>
  <dcterms:modified xsi:type="dcterms:W3CDTF">2026-06-04T13:45:11Z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0BA083C44C694CCB8B2F2A103607E474_12</vt:lpwstr>
  </property>
  <property fmtid="{D5CDD505-2E9C-101B-9397-08002B2CF9AE}" pid="3" name="KSOProductBuildVer">
    <vt:lpwstr>3082-12.2.0.23196</vt:lpwstr>
  </property>
</Properties>
</file>