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mae\Desktop\IA Patagonia\formatos\"/>
    </mc:Choice>
  </mc:AlternateContent>
  <xr:revisionPtr revIDLastSave="0" documentId="8_{7AEAC187-4240-4A0D-9699-F7D4C5115A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TEMIZADO INTERNO" sheetId="1" r:id="rId1"/>
    <sheet name="COTIZACION CLIEN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lIAV2rQ97fnAMTyMZ+vmJfTa9slN0HKJJbanTdk1oE="/>
    </ext>
  </extLst>
</workbook>
</file>

<file path=xl/calcChain.xml><?xml version="1.0" encoding="utf-8"?>
<calcChain xmlns="http://schemas.openxmlformats.org/spreadsheetml/2006/main">
  <c r="D30" i="2" l="1"/>
  <c r="C30" i="2"/>
  <c r="B30" i="2"/>
  <c r="A30" i="2"/>
  <c r="E29" i="2"/>
  <c r="D29" i="2"/>
  <c r="C29" i="2"/>
  <c r="B29" i="2"/>
  <c r="A29" i="2"/>
  <c r="D28" i="2"/>
  <c r="C28" i="2"/>
  <c r="B28" i="2"/>
  <c r="A28" i="2"/>
  <c r="E27" i="2"/>
  <c r="D27" i="2"/>
  <c r="C27" i="2"/>
  <c r="B27" i="2"/>
  <c r="A27" i="2"/>
  <c r="D26" i="2"/>
  <c r="C26" i="2"/>
  <c r="B26" i="2"/>
  <c r="A26" i="2"/>
  <c r="E24" i="2"/>
  <c r="D24" i="2"/>
  <c r="C24" i="2"/>
  <c r="B24" i="2"/>
  <c r="A24" i="2"/>
  <c r="D23" i="2"/>
  <c r="C23" i="2"/>
  <c r="B23" i="2"/>
  <c r="A23" i="2"/>
  <c r="E22" i="2"/>
  <c r="D22" i="2"/>
  <c r="C22" i="2"/>
  <c r="B22" i="2"/>
  <c r="A22" i="2"/>
  <c r="D20" i="2"/>
  <c r="C20" i="2"/>
  <c r="B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4" i="2"/>
  <c r="C14" i="2"/>
  <c r="B14" i="2"/>
  <c r="A14" i="2"/>
  <c r="D13" i="2"/>
  <c r="C13" i="2"/>
  <c r="B13" i="2"/>
  <c r="A13" i="2"/>
  <c r="D6" i="2"/>
  <c r="J30" i="1"/>
  <c r="E30" i="2" s="1"/>
  <c r="G30" i="1"/>
  <c r="J29" i="1"/>
  <c r="G29" i="1"/>
  <c r="J28" i="1"/>
  <c r="E28" i="2" s="1"/>
  <c r="G28" i="1"/>
  <c r="J27" i="1"/>
  <c r="G27" i="1"/>
  <c r="J26" i="1"/>
  <c r="E26" i="2" s="1"/>
  <c r="G26" i="1"/>
  <c r="J24" i="1"/>
  <c r="G24" i="1"/>
  <c r="J23" i="1"/>
  <c r="E23" i="2" s="1"/>
  <c r="G23" i="1"/>
  <c r="J22" i="1"/>
  <c r="G22" i="1"/>
  <c r="J20" i="1"/>
  <c r="E20" i="2" s="1"/>
  <c r="G20" i="1"/>
  <c r="J19" i="1"/>
  <c r="E19" i="2" s="1"/>
  <c r="G19" i="1"/>
  <c r="J18" i="1"/>
  <c r="E18" i="2" s="1"/>
  <c r="G18" i="1"/>
  <c r="J17" i="1"/>
  <c r="E17" i="2" s="1"/>
  <c r="G17" i="1"/>
  <c r="J16" i="1"/>
  <c r="E16" i="2" s="1"/>
  <c r="G16" i="1"/>
  <c r="J14" i="1"/>
  <c r="E14" i="2" s="1"/>
  <c r="G14" i="1"/>
  <c r="J13" i="1"/>
  <c r="E13" i="2" s="1"/>
  <c r="G13" i="1"/>
  <c r="K19" i="1" l="1"/>
  <c r="F19" i="2" s="1"/>
  <c r="K29" i="1"/>
  <c r="F29" i="2" s="1"/>
  <c r="K13" i="1"/>
  <c r="K18" i="1"/>
  <c r="F18" i="2" s="1"/>
  <c r="K23" i="1"/>
  <c r="F23" i="2" s="1"/>
  <c r="K28" i="1"/>
  <c r="F28" i="2" s="1"/>
  <c r="K35" i="1"/>
  <c r="I13" i="1"/>
  <c r="I14" i="1"/>
  <c r="K14" i="1" s="1"/>
  <c r="F14" i="2" s="1"/>
  <c r="I16" i="1"/>
  <c r="K16" i="1" s="1"/>
  <c r="F16" i="2" s="1"/>
  <c r="I17" i="1"/>
  <c r="K17" i="1" s="1"/>
  <c r="F17" i="2" s="1"/>
  <c r="I18" i="1"/>
  <c r="I19" i="1"/>
  <c r="I20" i="1"/>
  <c r="K20" i="1" s="1"/>
  <c r="F20" i="2" s="1"/>
  <c r="I22" i="1"/>
  <c r="K22" i="1" s="1"/>
  <c r="F22" i="2" s="1"/>
  <c r="I23" i="1"/>
  <c r="I24" i="1"/>
  <c r="K24" i="1" s="1"/>
  <c r="F24" i="2" s="1"/>
  <c r="I26" i="1"/>
  <c r="K26" i="1" s="1"/>
  <c r="F26" i="2" s="1"/>
  <c r="I27" i="1"/>
  <c r="K27" i="1" s="1"/>
  <c r="F27" i="2" s="1"/>
  <c r="I28" i="1"/>
  <c r="I29" i="1"/>
  <c r="I30" i="1"/>
  <c r="K30" i="1" s="1"/>
  <c r="F30" i="2" s="1"/>
  <c r="K37" i="1" l="1"/>
  <c r="F13" i="2"/>
  <c r="F35" i="2" s="1"/>
  <c r="K36" i="1"/>
  <c r="K40" i="1" s="1"/>
  <c r="F36" i="2" l="1"/>
  <c r="F37" i="2" s="1"/>
  <c r="K38" i="1"/>
  <c r="K39" i="1" s="1"/>
</calcChain>
</file>

<file path=xl/sharedStrings.xml><?xml version="1.0" encoding="utf-8"?>
<sst xmlns="http://schemas.openxmlformats.org/spreadsheetml/2006/main" count="148" uniqueCount="96">
  <si>
    <t>ITEMIZADO INTERNO — USO EXCLUSIVO IAPATAGONIA SpA</t>
  </si>
  <si>
    <t>N° Oferta:</t>
  </si>
  <si>
    <t>0602PVZ1PVN</t>
  </si>
  <si>
    <t>Cliente:</t>
  </si>
  <si>
    <t>Sr. Claudio Pavez</t>
  </si>
  <si>
    <t>Proyecto:</t>
  </si>
  <si>
    <t>Sistema Fotovoltaico Híbrido Residencial 4,84 kWp + Net Billing</t>
  </si>
  <si>
    <t>Localidad:</t>
  </si>
  <si>
    <t>Punucapa, Valdivia (Región de Los Ríos)</t>
  </si>
  <si>
    <t>Calculado por:</t>
  </si>
  <si>
    <t>Javier Bitterlich</t>
  </si>
  <si>
    <t>Fecha:</t>
  </si>
  <si>
    <t>Plazo de ejecución:</t>
  </si>
  <si>
    <t>10 días hábiles desde recepción de equipos</t>
  </si>
  <si>
    <t>Sección</t>
  </si>
  <si>
    <t>Ítem</t>
  </si>
  <si>
    <t>Descripción</t>
  </si>
  <si>
    <t>Und</t>
  </si>
  <si>
    <t>Cant.</t>
  </si>
  <si>
    <t>Costo Unit.</t>
  </si>
  <si>
    <t>Costo Total</t>
  </si>
  <si>
    <t>% Margen</t>
  </si>
  <si>
    <t>Margen $</t>
  </si>
  <si>
    <t>P. Venta Unit.</t>
  </si>
  <si>
    <t>Total Venta</t>
  </si>
  <si>
    <t>1</t>
  </si>
  <si>
    <t>EQUIPOS FOTOVOLTAICOS PRINCIPALES</t>
  </si>
  <si>
    <t>1.1</t>
  </si>
  <si>
    <t>Panel solar bifacial Trina Solar TSM-NEG19RC.20 605 Wp N-Type TopCon (certificado SEC)</t>
  </si>
  <si>
    <t>ud</t>
  </si>
  <si>
    <t>1.2</t>
  </si>
  <si>
    <t>Inversor Híbrido Monofásico GoodWe GW3600-ES-20 3,6 kW · 2 MPPT (certificado SEC, Net Billing-ready)</t>
  </si>
  <si>
    <t>2</t>
  </si>
  <si>
    <t>ESTRUCTURA Y CABLEADO</t>
  </si>
  <si>
    <t>2.1</t>
  </si>
  <si>
    <t>Estructura aluminio reforzada — pata delantera base ajustable + pata trasera 25°-40° ajustable, clamps medios y finales, anclaje PAT cobre, riel 5000 mm reforzado + coplas</t>
  </si>
  <si>
    <t>gl</t>
  </si>
  <si>
    <t>2.2</t>
  </si>
  <si>
    <t>Cable solar DC H1Z2Z2-K 6 mm² · rollos 50 m negro/rojo (caída V &lt; 1,5%)</t>
  </si>
  <si>
    <t>m</t>
  </si>
  <si>
    <t>2.3</t>
  </si>
  <si>
    <t>Cable AC RV-K 3×6 mm² inversor-tablero + canalización (caída V &lt; 3%)</t>
  </si>
  <si>
    <t>2.4</t>
  </si>
  <si>
    <t>Conectores MC4 macho/hembra, prensaestopas, sujeción y etiquetado normativo</t>
  </si>
  <si>
    <t>2.5</t>
  </si>
  <si>
    <t>Base estructura montaje (Apoyos de Hormigón)</t>
  </si>
  <si>
    <t>3</t>
  </si>
  <si>
    <t>TABLEROS Y PROTECCIONES ELÉCTRICAS</t>
  </si>
  <si>
    <t>3.1</t>
  </si>
  <si>
    <t>Gabinete DC IP65 con fusibles gPV 15A + DPS tipo II clase DC 20 kA</t>
  </si>
  <si>
    <t>3.2</t>
  </si>
  <si>
    <t>Gabinete AC con interruptor termomagnético 25A curva C + diferencial 30 mA tipo A + DPS tipo II 40 kA + barra neutro</t>
  </si>
  <si>
    <t>3.3</t>
  </si>
  <si>
    <t>Sistema puesta a tierra: jabalina Cu 2,4 m + cable Cu desnudo 35 mm² + conectores (R ≤ 25 Ω)</t>
  </si>
  <si>
    <t>4</t>
  </si>
  <si>
    <t>INGENIERÍA, INSTALACIÓN Y SERVICIOS</t>
  </si>
  <si>
    <t>4.1</t>
  </si>
  <si>
    <t>Ingeniería: memoria de cálculo + diagrama unifilar + planos planta (con sello eléctrico SEC)</t>
  </si>
  <si>
    <t>4.2</t>
  </si>
  <si>
    <t>Tramitación SEC: declaración TE4 + gestión Saesa + inscripción Net Billing (Ley 21.118)</t>
  </si>
  <si>
    <t>4.3</t>
  </si>
  <si>
    <t>Mano de obra: instalación electromecánica completa (estructura, módulos, cableado DC/AC, tableros)</t>
  </si>
  <si>
    <t>kW</t>
  </si>
  <si>
    <t>4.4</t>
  </si>
  <si>
    <t>Puesta en servicio: comisionamiento, pruebas funcionales, configuración monitoreo SEMS GoodWe</t>
  </si>
  <si>
    <t>4.5</t>
  </si>
  <si>
    <t>Flete: Puerto Montt → Valdivia (equipos + materiales)</t>
  </si>
  <si>
    <t>TOTAL COSTOS:</t>
  </si>
  <si>
    <t>TOTAL MARGEN:</t>
  </si>
  <si>
    <t>TOTAL NETO VENTA:</t>
  </si>
  <si>
    <t>IVA (19%):</t>
  </si>
  <si>
    <t>TOTAL CON IVA:</t>
  </si>
  <si>
    <t>% Margen efectivo:</t>
  </si>
  <si>
    <t>* Valor sujeto a evaluacion de visita Técnica</t>
  </si>
  <si>
    <t>Leyenda: texto azul = celdas editables (Cantidad, Costo Unit., %Margen). Texto negro = fórmulas calculadas. Los cambios aquí se reflejan automáticamente en la hoja COTIZACION CLIENTE.</t>
  </si>
  <si>
    <t>IAPATAGONIA SpA</t>
  </si>
  <si>
    <t>RUT 77.406.457-5  ·  C. Pedro Lagos MZ1 C12, René Schneider, Puerto Montt
Cta. cte. Banco Santander N° 93390253  ·  contacto@iapatagonia.cl</t>
  </si>
  <si>
    <t>COTIZACIÓN</t>
  </si>
  <si>
    <t>Claudio Pavez</t>
  </si>
  <si>
    <t>Atención:</t>
  </si>
  <si>
    <t>P. Unitario</t>
  </si>
  <si>
    <t>Total</t>
  </si>
  <si>
    <t>Total Neto:</t>
  </si>
  <si>
    <t>ALCANCE DEL PROYECTO</t>
  </si>
  <si>
    <r>
      <rPr>
        <sz val="11"/>
        <color rgb="FF000000"/>
        <rFont val="Calibri"/>
        <family val="2"/>
      </rPr>
      <t xml:space="preserve">Suministro, instalación y puesta en servicio de sistema fotovoltaico híbrido residencial de 4,84 kWp nominales en Punucapa, Valdivia. Incluye: 8 paneles bifaciales Trina 605 Wp (montaje sobre estructura aluminio reforzada montada a piso sobre apoyos de hormigón con inclinación ajustable 25°-40°), inversor híbrido GoodWe 3,6 kW Net Billing-ready con 2 MPPT, tableros DC/AC con protecciones SEC (fusibles gPV, DPS clase II, IT 25A, ID 30 mA), puesta a tierra Cu (R≤25Ω), cableado solar 6 mm² y AC RV-K 3×6 mm². Servicios incluidos: ingeniería con sello eléctrico (memoria de cálculo + unifilar + planos), tramitación completa SEC (declaración TE4 e inscripción Net Billing ante Saesa, Ley 21.118), instalación electromecánica, comisionamiento, configuración monitoreo SEMS GoodWe y flete Puerto Montt-Valdivia. Generación anual esperada: 5.393 kWh (Performance Ratio 0,78; HSP Valdivia 4,16 kWh/m²/día). </t>
    </r>
    <r>
      <rPr>
        <b/>
        <sz val="11"/>
        <color rgb="FF000000"/>
        <rFont val="Calibri"/>
        <family val="2"/>
      </rPr>
      <t>NO incluye 2 u batería de respaldo Pylontech US5000 suministradas por cliente.</t>
    </r>
  </si>
  <si>
    <t>CONDICIONES COMERCIALES</t>
  </si>
  <si>
    <t>10 días hábiles desde recepción de los equipos</t>
  </si>
  <si>
    <t>Validez de la oferta:</t>
  </si>
  <si>
    <t>30 días corridos</t>
  </si>
  <si>
    <t>Forma de pago:</t>
  </si>
  <si>
    <t>50% anticipo , 30% contra recepción de equipos en sitio, 20% contra puesta en servicio</t>
  </si>
  <si>
    <t>EMISIÓN DE ORDEN DE COMPRA A:</t>
  </si>
  <si>
    <t>RUT 77.406.457-5</t>
  </si>
  <si>
    <t>C. Pedro Lagos MZ1 C12, René Schneider, Puerto Montt</t>
  </si>
  <si>
    <t>Cta. cte. Banco Santander N° 93390253</t>
  </si>
  <si>
    <t>contacto@iapatagonia.cl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</si>
</sst>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\$#,##0;&quot;($&quot;#,##0\);\-"/>
    <numFmt numFmtId="166" formatCode="0.0%"/>
  </numFmts>
  <fonts count="14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i/>
      <sz val="9"/>
      <color rgb="FF606060"/>
      <name val="Calibri"/>
      <family val="2"/>
    </font>
    <font>
      <b/>
      <sz val="14"/>
      <color rgb="FF1E1E1E"/>
      <name val="Calibri"/>
      <family val="2"/>
    </font>
    <font>
      <sz val="8"/>
      <color rgb="FF404040"/>
      <name val="Calibri"/>
      <family val="2"/>
    </font>
    <font>
      <sz val="11"/>
      <color theme="1"/>
      <name val="Calibri"/>
      <family val="2"/>
    </font>
    <font>
      <b/>
      <sz val="18"/>
      <color rgb="FF1E1E1E"/>
      <name val="Calibri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1E1E"/>
        <bgColor rgb="FF1E1E1E"/>
      </patternFill>
    </fill>
    <fill>
      <patternFill patternType="solid">
        <fgColor rgb="FFF2F2F2"/>
        <bgColor rgb="FFF2F2F2"/>
      </patternFill>
    </fill>
    <fill>
      <patternFill patternType="solid">
        <fgColor rgb="FFE5E136"/>
        <bgColor rgb="FFE5E136"/>
      </patternFill>
    </fill>
    <fill>
      <patternFill patternType="solid">
        <fgColor rgb="FF3CB4E0"/>
        <bgColor rgb="FF3CB4E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3CB4E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2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3" fontId="6" fillId="0" borderId="7" xfId="0" applyNumberFormat="1" applyFont="1" applyBorder="1" applyAlignment="1">
      <alignment horizontal="right" vertical="center"/>
    </xf>
    <xf numFmtId="165" fontId="6" fillId="0" borderId="7" xfId="0" applyNumberFormat="1" applyFont="1" applyBorder="1" applyAlignment="1">
      <alignment horizontal="right" vertical="center"/>
    </xf>
    <xf numFmtId="165" fontId="4" fillId="0" borderId="7" xfId="0" applyNumberFormat="1" applyFont="1" applyBorder="1" applyAlignment="1">
      <alignment horizontal="right" vertical="center"/>
    </xf>
    <xf numFmtId="166" fontId="6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right" vertical="center"/>
    </xf>
    <xf numFmtId="165" fontId="3" fillId="3" borderId="7" xfId="0" applyNumberFormat="1" applyFont="1" applyFill="1" applyBorder="1" applyAlignment="1">
      <alignment horizontal="right" vertical="center"/>
    </xf>
    <xf numFmtId="165" fontId="3" fillId="4" borderId="7" xfId="0" applyNumberFormat="1" applyFont="1" applyFill="1" applyBorder="1" applyAlignment="1">
      <alignment horizontal="right" vertical="center"/>
    </xf>
    <xf numFmtId="166" fontId="3" fillId="3" borderId="7" xfId="0" applyNumberFormat="1" applyFont="1" applyFill="1" applyBorder="1" applyAlignment="1">
      <alignment horizontal="right" vertical="center"/>
    </xf>
    <xf numFmtId="0" fontId="7" fillId="0" borderId="0" xfId="0" applyFont="1"/>
    <xf numFmtId="0" fontId="11" fillId="0" borderId="8" xfId="0" applyFont="1" applyBorder="1"/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7" xfId="0" applyFont="1" applyFill="1" applyBorder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13" fillId="4" borderId="7" xfId="0" applyFont="1" applyFill="1" applyBorder="1" applyAlignment="1">
      <alignment horizontal="right" vertical="center"/>
    </xf>
    <xf numFmtId="165" fontId="13" fillId="4" borderId="7" xfId="0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2" fillId="0" borderId="6" xfId="0" applyFont="1" applyBorder="1"/>
    <xf numFmtId="0" fontId="8" fillId="0" borderId="0" xfId="0" applyFont="1" applyAlignment="1">
      <alignment horizontal="left" vertical="center"/>
    </xf>
    <xf numFmtId="0" fontId="0" fillId="0" borderId="0" xfId="0"/>
    <xf numFmtId="0" fontId="3" fillId="3" borderId="1" xfId="0" applyFont="1" applyFill="1" applyBorder="1" applyAlignment="1">
      <alignment horizontal="right" vertical="center"/>
    </xf>
    <xf numFmtId="0" fontId="2" fillId="0" borderId="3" xfId="0" applyFont="1" applyBorder="1"/>
    <xf numFmtId="0" fontId="4" fillId="0" borderId="4" xfId="0" applyFont="1" applyBorder="1" applyAlignment="1">
      <alignment horizontal="left" vertical="center"/>
    </xf>
    <xf numFmtId="0" fontId="2" fillId="0" borderId="5" xfId="0" applyFont="1" applyBorder="1"/>
    <xf numFmtId="164" fontId="4" fillId="0" borderId="4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9" xfId="0" applyFont="1" applyBorder="1"/>
    <xf numFmtId="0" fontId="5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67025" cy="981075"/>
    <xdr:pic>
      <xdr:nvPicPr>
        <xdr:cNvPr id="2" name="image1.jpg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showGridLines="0" tabSelected="1" workbookViewId="0">
      <selection activeCell="C13" sqref="C13"/>
    </sheetView>
  </sheetViews>
  <sheetFormatPr baseColWidth="10" defaultColWidth="14.44140625" defaultRowHeight="15" customHeight="1" x14ac:dyDescent="0.3"/>
  <cols>
    <col min="1" max="1" width="8" customWidth="1"/>
    <col min="2" max="2" width="10.109375" customWidth="1"/>
    <col min="3" max="3" width="49.33203125" customWidth="1"/>
    <col min="4" max="4" width="8" customWidth="1"/>
    <col min="5" max="5" width="10" customWidth="1"/>
    <col min="6" max="7" width="14" customWidth="1"/>
    <col min="8" max="8" width="10" customWidth="1"/>
    <col min="9" max="10" width="14" customWidth="1"/>
    <col min="11" max="11" width="16" customWidth="1"/>
  </cols>
  <sheetData>
    <row r="1" spans="1:11" ht="27.75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29"/>
    </row>
    <row r="2" spans="1:11" ht="14.25" customHeight="1" x14ac:dyDescent="0.3"/>
    <row r="3" spans="1:11" ht="14.25" customHeight="1" x14ac:dyDescent="0.3">
      <c r="A3" s="28" t="s">
        <v>1</v>
      </c>
      <c r="B3" s="29"/>
      <c r="C3" s="30" t="s">
        <v>2</v>
      </c>
      <c r="D3" s="31"/>
      <c r="E3" s="31"/>
      <c r="F3" s="31"/>
      <c r="G3" s="25"/>
    </row>
    <row r="4" spans="1:11" ht="14.25" customHeight="1" x14ac:dyDescent="0.3">
      <c r="A4" s="28" t="s">
        <v>3</v>
      </c>
      <c r="B4" s="29"/>
      <c r="C4" s="30" t="s">
        <v>4</v>
      </c>
      <c r="D4" s="31"/>
      <c r="E4" s="31"/>
      <c r="F4" s="31"/>
      <c r="G4" s="25"/>
    </row>
    <row r="5" spans="1:11" ht="14.25" customHeight="1" x14ac:dyDescent="0.3">
      <c r="A5" s="28" t="s">
        <v>5</v>
      </c>
      <c r="B5" s="29"/>
      <c r="C5" s="30" t="s">
        <v>6</v>
      </c>
      <c r="D5" s="31"/>
      <c r="E5" s="31"/>
      <c r="F5" s="31"/>
      <c r="G5" s="25"/>
    </row>
    <row r="6" spans="1:11" ht="14.25" customHeight="1" x14ac:dyDescent="0.3">
      <c r="A6" s="28" t="s">
        <v>7</v>
      </c>
      <c r="B6" s="29"/>
      <c r="C6" s="30" t="s">
        <v>8</v>
      </c>
      <c r="D6" s="31"/>
      <c r="E6" s="31"/>
      <c r="F6" s="31"/>
      <c r="G6" s="25"/>
    </row>
    <row r="7" spans="1:11" ht="14.25" customHeight="1" x14ac:dyDescent="0.3">
      <c r="A7" s="28" t="s">
        <v>9</v>
      </c>
      <c r="B7" s="29"/>
      <c r="C7" s="30" t="s">
        <v>10</v>
      </c>
      <c r="D7" s="31"/>
      <c r="E7" s="31"/>
      <c r="F7" s="31"/>
      <c r="G7" s="25"/>
    </row>
    <row r="8" spans="1:11" ht="14.25" customHeight="1" x14ac:dyDescent="0.3">
      <c r="A8" s="28" t="s">
        <v>11</v>
      </c>
      <c r="B8" s="29"/>
      <c r="C8" s="32">
        <v>46175</v>
      </c>
      <c r="D8" s="31"/>
      <c r="E8" s="31"/>
      <c r="F8" s="31"/>
      <c r="G8" s="25"/>
    </row>
    <row r="9" spans="1:11" ht="14.25" customHeight="1" x14ac:dyDescent="0.3">
      <c r="A9" s="28" t="s">
        <v>12</v>
      </c>
      <c r="B9" s="29"/>
      <c r="C9" s="30" t="s">
        <v>13</v>
      </c>
      <c r="D9" s="31"/>
      <c r="E9" s="31"/>
      <c r="F9" s="31"/>
      <c r="G9" s="25"/>
    </row>
    <row r="10" spans="1:11" ht="14.25" customHeight="1" x14ac:dyDescent="0.3"/>
    <row r="11" spans="1:11" ht="31.5" customHeight="1" x14ac:dyDescent="0.3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24</v>
      </c>
    </row>
    <row r="12" spans="1:11" ht="14.25" customHeight="1" x14ac:dyDescent="0.3">
      <c r="A12" s="2" t="s">
        <v>25</v>
      </c>
      <c r="B12" s="3"/>
      <c r="C12" s="3" t="s">
        <v>26</v>
      </c>
      <c r="D12" s="3"/>
      <c r="E12" s="3"/>
      <c r="F12" s="3"/>
      <c r="G12" s="3"/>
      <c r="H12" s="3"/>
      <c r="I12" s="3"/>
      <c r="J12" s="3"/>
      <c r="K12" s="3"/>
    </row>
    <row r="13" spans="1:11" ht="28.8" x14ac:dyDescent="0.3">
      <c r="A13" s="4" t="s">
        <v>25</v>
      </c>
      <c r="B13" s="4" t="s">
        <v>27</v>
      </c>
      <c r="C13" s="5" t="s">
        <v>28</v>
      </c>
      <c r="D13" s="4" t="s">
        <v>29</v>
      </c>
      <c r="E13" s="6">
        <v>8</v>
      </c>
      <c r="F13" s="7">
        <v>89340</v>
      </c>
      <c r="G13" s="8">
        <f t="shared" ref="G13:G14" si="0">E13*F13</f>
        <v>714720</v>
      </c>
      <c r="H13" s="9">
        <v>0.25</v>
      </c>
      <c r="I13" s="8">
        <f t="shared" ref="I13:I14" si="1">G13*H13</f>
        <v>178680</v>
      </c>
      <c r="J13" s="8">
        <f t="shared" ref="J13:J14" si="2">F13*(1+H13)</f>
        <v>111675</v>
      </c>
      <c r="K13" s="10">
        <f t="shared" ref="K13:K14" si="3">G13+I13</f>
        <v>893400</v>
      </c>
    </row>
    <row r="14" spans="1:11" ht="28.8" x14ac:dyDescent="0.3">
      <c r="A14" s="4" t="s">
        <v>25</v>
      </c>
      <c r="B14" s="4" t="s">
        <v>30</v>
      </c>
      <c r="C14" s="5" t="s">
        <v>31</v>
      </c>
      <c r="D14" s="4" t="s">
        <v>29</v>
      </c>
      <c r="E14" s="6">
        <v>1</v>
      </c>
      <c r="F14" s="7">
        <v>811024</v>
      </c>
      <c r="G14" s="8">
        <f t="shared" si="0"/>
        <v>811024</v>
      </c>
      <c r="H14" s="9">
        <v>0.25</v>
      </c>
      <c r="I14" s="8">
        <f t="shared" si="1"/>
        <v>202756</v>
      </c>
      <c r="J14" s="8">
        <f t="shared" si="2"/>
        <v>1013780</v>
      </c>
      <c r="K14" s="10">
        <f t="shared" si="3"/>
        <v>1013780</v>
      </c>
    </row>
    <row r="15" spans="1:11" ht="14.25" customHeight="1" x14ac:dyDescent="0.3">
      <c r="A15" s="2" t="s">
        <v>32</v>
      </c>
      <c r="B15" s="3"/>
      <c r="C15" s="3" t="s">
        <v>33</v>
      </c>
      <c r="D15" s="3"/>
      <c r="E15" s="3"/>
      <c r="F15" s="3"/>
      <c r="G15" s="3"/>
      <c r="H15" s="3"/>
      <c r="I15" s="3"/>
      <c r="J15" s="3"/>
      <c r="K15" s="3"/>
    </row>
    <row r="16" spans="1:11" ht="57.6" x14ac:dyDescent="0.3">
      <c r="A16" s="4" t="s">
        <v>32</v>
      </c>
      <c r="B16" s="4" t="s">
        <v>34</v>
      </c>
      <c r="C16" s="5" t="s">
        <v>35</v>
      </c>
      <c r="D16" s="4" t="s">
        <v>36</v>
      </c>
      <c r="E16" s="6">
        <v>1</v>
      </c>
      <c r="F16" s="7">
        <v>159366</v>
      </c>
      <c r="G16" s="8">
        <f t="shared" ref="G16:G20" si="4">E16*F16</f>
        <v>159366</v>
      </c>
      <c r="H16" s="9">
        <v>0.25</v>
      </c>
      <c r="I16" s="8">
        <f t="shared" ref="I16:I20" si="5">G16*H16</f>
        <v>39841.5</v>
      </c>
      <c r="J16" s="8">
        <f t="shared" ref="J16:J20" si="6">F16*(1+H16)</f>
        <v>199207.5</v>
      </c>
      <c r="K16" s="10">
        <f t="shared" ref="K16:K20" si="7">G16+I16</f>
        <v>199207.5</v>
      </c>
    </row>
    <row r="17" spans="1:11" ht="28.8" x14ac:dyDescent="0.3">
      <c r="A17" s="4" t="s">
        <v>32</v>
      </c>
      <c r="B17" s="4" t="s">
        <v>37</v>
      </c>
      <c r="C17" s="5" t="s">
        <v>38</v>
      </c>
      <c r="D17" s="4" t="s">
        <v>39</v>
      </c>
      <c r="E17" s="6">
        <v>100</v>
      </c>
      <c r="F17" s="7">
        <v>948</v>
      </c>
      <c r="G17" s="8">
        <f t="shared" si="4"/>
        <v>94800</v>
      </c>
      <c r="H17" s="9">
        <v>0.25</v>
      </c>
      <c r="I17" s="8">
        <f t="shared" si="5"/>
        <v>23700</v>
      </c>
      <c r="J17" s="8">
        <f t="shared" si="6"/>
        <v>1185</v>
      </c>
      <c r="K17" s="10">
        <f t="shared" si="7"/>
        <v>118500</v>
      </c>
    </row>
    <row r="18" spans="1:11" ht="28.8" x14ac:dyDescent="0.3">
      <c r="A18" s="4" t="s">
        <v>32</v>
      </c>
      <c r="B18" s="4" t="s">
        <v>40</v>
      </c>
      <c r="C18" s="5" t="s">
        <v>41</v>
      </c>
      <c r="D18" s="4" t="s">
        <v>36</v>
      </c>
      <c r="E18" s="6">
        <v>1</v>
      </c>
      <c r="F18" s="7">
        <v>151260</v>
      </c>
      <c r="G18" s="8">
        <f t="shared" si="4"/>
        <v>151260</v>
      </c>
      <c r="H18" s="9">
        <v>0.25</v>
      </c>
      <c r="I18" s="8">
        <f t="shared" si="5"/>
        <v>37815</v>
      </c>
      <c r="J18" s="8">
        <f t="shared" si="6"/>
        <v>189075</v>
      </c>
      <c r="K18" s="10">
        <f t="shared" si="7"/>
        <v>189075</v>
      </c>
    </row>
    <row r="19" spans="1:11" ht="28.8" x14ac:dyDescent="0.3">
      <c r="A19" s="4" t="s">
        <v>32</v>
      </c>
      <c r="B19" s="4" t="s">
        <v>42</v>
      </c>
      <c r="C19" s="5" t="s">
        <v>43</v>
      </c>
      <c r="D19" s="4" t="s">
        <v>36</v>
      </c>
      <c r="E19" s="6">
        <v>1</v>
      </c>
      <c r="F19" s="7">
        <v>67228</v>
      </c>
      <c r="G19" s="8">
        <f t="shared" si="4"/>
        <v>67228</v>
      </c>
      <c r="H19" s="9">
        <v>0.25</v>
      </c>
      <c r="I19" s="8">
        <f t="shared" si="5"/>
        <v>16807</v>
      </c>
      <c r="J19" s="8">
        <f t="shared" si="6"/>
        <v>84035</v>
      </c>
      <c r="K19" s="10">
        <f t="shared" si="7"/>
        <v>84035</v>
      </c>
    </row>
    <row r="20" spans="1:11" ht="14.4" x14ac:dyDescent="0.3">
      <c r="A20" s="4">
        <v>2</v>
      </c>
      <c r="B20" s="4" t="s">
        <v>44</v>
      </c>
      <c r="C20" s="5" t="s">
        <v>45</v>
      </c>
      <c r="D20" s="4" t="s">
        <v>29</v>
      </c>
      <c r="E20" s="6">
        <v>16</v>
      </c>
      <c r="F20" s="7">
        <v>13750</v>
      </c>
      <c r="G20" s="8">
        <f t="shared" si="4"/>
        <v>220000</v>
      </c>
      <c r="H20" s="9">
        <v>0.25</v>
      </c>
      <c r="I20" s="8">
        <f t="shared" si="5"/>
        <v>55000</v>
      </c>
      <c r="J20" s="8">
        <f t="shared" si="6"/>
        <v>17187.5</v>
      </c>
      <c r="K20" s="10">
        <f t="shared" si="7"/>
        <v>275000</v>
      </c>
    </row>
    <row r="21" spans="1:11" ht="14.25" customHeight="1" x14ac:dyDescent="0.3">
      <c r="A21" s="2" t="s">
        <v>46</v>
      </c>
      <c r="B21" s="3"/>
      <c r="C21" s="3" t="s">
        <v>47</v>
      </c>
      <c r="D21" s="3"/>
      <c r="E21" s="3"/>
      <c r="F21" s="3"/>
      <c r="G21" s="3"/>
      <c r="H21" s="3"/>
      <c r="I21" s="3"/>
      <c r="J21" s="3"/>
      <c r="K21" s="3"/>
    </row>
    <row r="22" spans="1:11" ht="28.8" x14ac:dyDescent="0.3">
      <c r="A22" s="4" t="s">
        <v>46</v>
      </c>
      <c r="B22" s="4" t="s">
        <v>48</v>
      </c>
      <c r="C22" s="5" t="s">
        <v>49</v>
      </c>
      <c r="D22" s="4" t="s">
        <v>29</v>
      </c>
      <c r="E22" s="6">
        <v>1</v>
      </c>
      <c r="F22" s="7">
        <v>151260</v>
      </c>
      <c r="G22" s="8">
        <f t="shared" ref="G22:G24" si="8">E22*F22</f>
        <v>151260</v>
      </c>
      <c r="H22" s="9">
        <v>0.25</v>
      </c>
      <c r="I22" s="8">
        <f t="shared" ref="I22:I24" si="9">G22*H22</f>
        <v>37815</v>
      </c>
      <c r="J22" s="8">
        <f t="shared" ref="J22:J24" si="10">F22*(1+H22)</f>
        <v>189075</v>
      </c>
      <c r="K22" s="10">
        <f t="shared" ref="K22:K24" si="11">G22+I22</f>
        <v>189075</v>
      </c>
    </row>
    <row r="23" spans="1:11" ht="43.2" x14ac:dyDescent="0.3">
      <c r="A23" s="4" t="s">
        <v>46</v>
      </c>
      <c r="B23" s="4" t="s">
        <v>50</v>
      </c>
      <c r="C23" s="5" t="s">
        <v>51</v>
      </c>
      <c r="D23" s="4" t="s">
        <v>29</v>
      </c>
      <c r="E23" s="6">
        <v>1</v>
      </c>
      <c r="F23" s="7">
        <v>184874</v>
      </c>
      <c r="G23" s="8">
        <f t="shared" si="8"/>
        <v>184874</v>
      </c>
      <c r="H23" s="9">
        <v>0.25</v>
      </c>
      <c r="I23" s="8">
        <f t="shared" si="9"/>
        <v>46218.5</v>
      </c>
      <c r="J23" s="8">
        <f t="shared" si="10"/>
        <v>231092.5</v>
      </c>
      <c r="K23" s="10">
        <f t="shared" si="11"/>
        <v>231092.5</v>
      </c>
    </row>
    <row r="24" spans="1:11" ht="28.8" x14ac:dyDescent="0.3">
      <c r="A24" s="4" t="s">
        <v>46</v>
      </c>
      <c r="B24" s="4" t="s">
        <v>52</v>
      </c>
      <c r="C24" s="5" t="s">
        <v>53</v>
      </c>
      <c r="D24" s="4" t="s">
        <v>36</v>
      </c>
      <c r="E24" s="6">
        <v>1</v>
      </c>
      <c r="F24" s="7">
        <v>126050</v>
      </c>
      <c r="G24" s="8">
        <f t="shared" si="8"/>
        <v>126050</v>
      </c>
      <c r="H24" s="9">
        <v>0.25</v>
      </c>
      <c r="I24" s="8">
        <f t="shared" si="9"/>
        <v>31512.5</v>
      </c>
      <c r="J24" s="8">
        <f t="shared" si="10"/>
        <v>157562.5</v>
      </c>
      <c r="K24" s="10">
        <f t="shared" si="11"/>
        <v>157562.5</v>
      </c>
    </row>
    <row r="25" spans="1:11" ht="14.25" customHeight="1" x14ac:dyDescent="0.3">
      <c r="A25" s="2" t="s">
        <v>54</v>
      </c>
      <c r="B25" s="3"/>
      <c r="C25" s="3" t="s">
        <v>55</v>
      </c>
      <c r="D25" s="3"/>
      <c r="E25" s="3"/>
      <c r="F25" s="3"/>
      <c r="G25" s="3"/>
      <c r="H25" s="3"/>
      <c r="I25" s="3"/>
      <c r="J25" s="3"/>
      <c r="K25" s="3"/>
    </row>
    <row r="26" spans="1:11" ht="28.8" x14ac:dyDescent="0.3">
      <c r="A26" s="4" t="s">
        <v>54</v>
      </c>
      <c r="B26" s="4" t="s">
        <v>56</v>
      </c>
      <c r="C26" s="5" t="s">
        <v>57</v>
      </c>
      <c r="D26" s="4" t="s">
        <v>36</v>
      </c>
      <c r="E26" s="6">
        <v>1</v>
      </c>
      <c r="F26" s="7">
        <v>294118</v>
      </c>
      <c r="G26" s="8">
        <f t="shared" ref="G26:G30" si="12">E26*F26</f>
        <v>294118</v>
      </c>
      <c r="H26" s="9">
        <v>0.25</v>
      </c>
      <c r="I26" s="8">
        <f t="shared" ref="I26:I30" si="13">G26*H26</f>
        <v>73529.5</v>
      </c>
      <c r="J26" s="8">
        <f t="shared" ref="J26:J30" si="14">F26*(1+H26)</f>
        <v>367647.5</v>
      </c>
      <c r="K26" s="10">
        <f t="shared" ref="K26:K30" si="15">G26+I26</f>
        <v>367647.5</v>
      </c>
    </row>
    <row r="27" spans="1:11" ht="28.8" x14ac:dyDescent="0.3">
      <c r="A27" s="4" t="s">
        <v>54</v>
      </c>
      <c r="B27" s="4" t="s">
        <v>58</v>
      </c>
      <c r="C27" s="5" t="s">
        <v>59</v>
      </c>
      <c r="D27" s="4" t="s">
        <v>36</v>
      </c>
      <c r="E27" s="6">
        <v>1</v>
      </c>
      <c r="F27" s="7">
        <v>235294</v>
      </c>
      <c r="G27" s="8">
        <f t="shared" si="12"/>
        <v>235294</v>
      </c>
      <c r="H27" s="9">
        <v>0.25</v>
      </c>
      <c r="I27" s="8">
        <f t="shared" si="13"/>
        <v>58823.5</v>
      </c>
      <c r="J27" s="8">
        <f t="shared" si="14"/>
        <v>294117.5</v>
      </c>
      <c r="K27" s="10">
        <f t="shared" si="15"/>
        <v>294117.5</v>
      </c>
    </row>
    <row r="28" spans="1:11" ht="28.8" x14ac:dyDescent="0.3">
      <c r="A28" s="4" t="s">
        <v>54</v>
      </c>
      <c r="B28" s="4" t="s">
        <v>60</v>
      </c>
      <c r="C28" s="5" t="s">
        <v>61</v>
      </c>
      <c r="D28" s="4" t="s">
        <v>62</v>
      </c>
      <c r="E28" s="6">
        <v>3.6</v>
      </c>
      <c r="F28" s="7">
        <v>193278</v>
      </c>
      <c r="G28" s="8">
        <f t="shared" si="12"/>
        <v>695800.8</v>
      </c>
      <c r="H28" s="9">
        <v>0.25</v>
      </c>
      <c r="I28" s="8">
        <f t="shared" si="13"/>
        <v>173950.2</v>
      </c>
      <c r="J28" s="8">
        <f t="shared" si="14"/>
        <v>241597.5</v>
      </c>
      <c r="K28" s="10">
        <f t="shared" si="15"/>
        <v>869751</v>
      </c>
    </row>
    <row r="29" spans="1:11" ht="28.8" x14ac:dyDescent="0.3">
      <c r="A29" s="4" t="s">
        <v>54</v>
      </c>
      <c r="B29" s="4" t="s">
        <v>63</v>
      </c>
      <c r="C29" s="5" t="s">
        <v>64</v>
      </c>
      <c r="D29" s="4" t="s">
        <v>36</v>
      </c>
      <c r="E29" s="6">
        <v>1</v>
      </c>
      <c r="F29" s="7">
        <v>168068</v>
      </c>
      <c r="G29" s="8">
        <f t="shared" si="12"/>
        <v>168068</v>
      </c>
      <c r="H29" s="9">
        <v>0.25</v>
      </c>
      <c r="I29" s="8">
        <f t="shared" si="13"/>
        <v>42017</v>
      </c>
      <c r="J29" s="8">
        <f t="shared" si="14"/>
        <v>210085</v>
      </c>
      <c r="K29" s="10">
        <f t="shared" si="15"/>
        <v>210085</v>
      </c>
    </row>
    <row r="30" spans="1:11" ht="14.4" x14ac:dyDescent="0.3">
      <c r="A30" s="4" t="s">
        <v>54</v>
      </c>
      <c r="B30" s="4" t="s">
        <v>65</v>
      </c>
      <c r="C30" s="5" t="s">
        <v>66</v>
      </c>
      <c r="D30" s="4" t="s">
        <v>36</v>
      </c>
      <c r="E30" s="6">
        <v>1</v>
      </c>
      <c r="F30" s="7">
        <v>235294</v>
      </c>
      <c r="G30" s="8">
        <f t="shared" si="12"/>
        <v>235294</v>
      </c>
      <c r="H30" s="9">
        <v>0.25</v>
      </c>
      <c r="I30" s="8">
        <f t="shared" si="13"/>
        <v>58823.5</v>
      </c>
      <c r="J30" s="8">
        <f t="shared" si="14"/>
        <v>294117.5</v>
      </c>
      <c r="K30" s="10">
        <f t="shared" si="15"/>
        <v>294117.5</v>
      </c>
    </row>
    <row r="31" spans="1:11" ht="14.25" customHeight="1" x14ac:dyDescent="0.3">
      <c r="A31" s="4"/>
      <c r="B31" s="4"/>
      <c r="C31" s="5"/>
      <c r="D31" s="4"/>
      <c r="E31" s="6"/>
      <c r="F31" s="7"/>
      <c r="G31" s="8"/>
      <c r="H31" s="9"/>
      <c r="I31" s="8"/>
      <c r="J31" s="8"/>
      <c r="K31" s="10"/>
    </row>
    <row r="32" spans="1:11" ht="14.25" customHeight="1" x14ac:dyDescent="0.3">
      <c r="A32" s="4"/>
      <c r="B32" s="4"/>
      <c r="C32" s="5"/>
      <c r="D32" s="4"/>
      <c r="E32" s="6"/>
      <c r="F32" s="7"/>
      <c r="G32" s="8"/>
      <c r="H32" s="9"/>
      <c r="I32" s="8"/>
      <c r="J32" s="8"/>
      <c r="K32" s="10"/>
    </row>
    <row r="33" spans="1:11" ht="14.25" customHeight="1" x14ac:dyDescent="0.3">
      <c r="A33" s="4"/>
      <c r="B33" s="4"/>
      <c r="C33" s="5"/>
      <c r="D33" s="4"/>
      <c r="E33" s="6"/>
      <c r="F33" s="7"/>
      <c r="G33" s="8"/>
      <c r="H33" s="9"/>
      <c r="I33" s="8"/>
      <c r="J33" s="8"/>
      <c r="K33" s="10"/>
    </row>
    <row r="34" spans="1:11" ht="14.25" customHeight="1" x14ac:dyDescent="0.3"/>
    <row r="35" spans="1:11" ht="14.25" customHeight="1" x14ac:dyDescent="0.3">
      <c r="I35" s="24" t="s">
        <v>67</v>
      </c>
      <c r="J35" s="25"/>
      <c r="K35" s="11">
        <f>SUMIF(B12:B33,"&lt;&gt;",G12:G33)</f>
        <v>4309156.8</v>
      </c>
    </row>
    <row r="36" spans="1:11" ht="14.25" customHeight="1" x14ac:dyDescent="0.3">
      <c r="I36" s="24" t="s">
        <v>68</v>
      </c>
      <c r="J36" s="25"/>
      <c r="K36" s="11">
        <f>SUMIF(B12:B33,"&lt;&gt;",I12:I33)</f>
        <v>1077289.2</v>
      </c>
    </row>
    <row r="37" spans="1:11" ht="14.25" customHeight="1" x14ac:dyDescent="0.3">
      <c r="I37" s="24" t="s">
        <v>69</v>
      </c>
      <c r="J37" s="25"/>
      <c r="K37" s="11">
        <f>SUMIF(B13:B30,"&lt;&gt;",K13:K30)</f>
        <v>5386446</v>
      </c>
    </row>
    <row r="38" spans="1:11" ht="14.25" customHeight="1" x14ac:dyDescent="0.3">
      <c r="I38" s="24" t="s">
        <v>70</v>
      </c>
      <c r="J38" s="25"/>
      <c r="K38" s="11">
        <f>K37*0.19</f>
        <v>1023424.74</v>
      </c>
    </row>
    <row r="39" spans="1:11" ht="14.25" customHeight="1" x14ac:dyDescent="0.3">
      <c r="I39" s="24" t="s">
        <v>71</v>
      </c>
      <c r="J39" s="25"/>
      <c r="K39" s="12">
        <f>K37+K38</f>
        <v>6409870.7400000002</v>
      </c>
    </row>
    <row r="40" spans="1:11" ht="14.25" customHeight="1" x14ac:dyDescent="0.3">
      <c r="I40" s="24" t="s">
        <v>72</v>
      </c>
      <c r="J40" s="25"/>
      <c r="K40" s="13">
        <f>IFERROR(K36/K35,0)</f>
        <v>0.25</v>
      </c>
    </row>
    <row r="41" spans="1:11" ht="14.25" customHeight="1" x14ac:dyDescent="0.3">
      <c r="I41" s="14" t="s">
        <v>73</v>
      </c>
    </row>
    <row r="42" spans="1:11" ht="14.25" customHeight="1" x14ac:dyDescent="0.3"/>
    <row r="43" spans="1:11" ht="14.25" customHeight="1" x14ac:dyDescent="0.3">
      <c r="A43" s="26" t="s">
        <v>74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1:11" ht="14.25" customHeight="1" x14ac:dyDescent="0.3"/>
    <row r="45" spans="1:11" ht="14.25" customHeight="1" x14ac:dyDescent="0.3"/>
    <row r="46" spans="1:11" ht="14.25" customHeight="1" x14ac:dyDescent="0.3"/>
    <row r="47" spans="1:11" ht="14.25" customHeight="1" x14ac:dyDescent="0.3"/>
    <row r="48" spans="1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2">
    <mergeCell ref="A1:K1"/>
    <mergeCell ref="A3:B3"/>
    <mergeCell ref="C3:G3"/>
    <mergeCell ref="A4:B4"/>
    <mergeCell ref="C4:G4"/>
    <mergeCell ref="A5:B5"/>
    <mergeCell ref="C5:G5"/>
    <mergeCell ref="C9:G9"/>
    <mergeCell ref="I35:J35"/>
    <mergeCell ref="I36:J36"/>
    <mergeCell ref="A6:B6"/>
    <mergeCell ref="C6:G6"/>
    <mergeCell ref="A7:B7"/>
    <mergeCell ref="C7:G7"/>
    <mergeCell ref="A8:B8"/>
    <mergeCell ref="C8:G8"/>
    <mergeCell ref="A9:B9"/>
    <mergeCell ref="I37:J37"/>
    <mergeCell ref="I38:J38"/>
    <mergeCell ref="I39:J39"/>
    <mergeCell ref="I40:J40"/>
    <mergeCell ref="A43:K43"/>
  </mergeCells>
  <printOptions horizontalCentered="1"/>
  <pageMargins left="0.4" right="0.4" top="0.5" bottom="0.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00"/>
  <sheetViews>
    <sheetView showGridLines="0" workbookViewId="0"/>
  </sheetViews>
  <sheetFormatPr baseColWidth="10" defaultColWidth="14.44140625" defaultRowHeight="15" customHeight="1" x14ac:dyDescent="0.3"/>
  <cols>
    <col min="1" max="1" width="10" customWidth="1"/>
    <col min="2" max="2" width="47.6640625" customWidth="1"/>
    <col min="3" max="3" width="12" customWidth="1"/>
    <col min="4" max="4" width="8" customWidth="1"/>
    <col min="5" max="5" width="16.109375" customWidth="1"/>
    <col min="6" max="6" width="14" customWidth="1"/>
  </cols>
  <sheetData>
    <row r="1" spans="1:6" ht="21" customHeight="1" x14ac:dyDescent="0.3">
      <c r="C1" s="40" t="s">
        <v>75</v>
      </c>
      <c r="D1" s="27"/>
      <c r="E1" s="27"/>
      <c r="F1" s="27"/>
    </row>
    <row r="2" spans="1:6" ht="42" customHeight="1" x14ac:dyDescent="0.3">
      <c r="C2" s="41" t="s">
        <v>76</v>
      </c>
      <c r="D2" s="27"/>
      <c r="E2" s="27"/>
      <c r="F2" s="27"/>
    </row>
    <row r="3" spans="1:6" ht="14.25" customHeight="1" x14ac:dyDescent="0.3">
      <c r="A3" s="15"/>
      <c r="B3" s="15"/>
      <c r="C3" s="15"/>
      <c r="D3" s="16"/>
      <c r="E3" s="15"/>
      <c r="F3" s="15"/>
    </row>
    <row r="4" spans="1:6" ht="24.75" customHeight="1" x14ac:dyDescent="0.3">
      <c r="A4" s="42" t="s">
        <v>77</v>
      </c>
      <c r="B4" s="34"/>
      <c r="C4" s="34"/>
      <c r="D4" s="34"/>
      <c r="E4" s="34"/>
      <c r="F4" s="29"/>
    </row>
    <row r="5" spans="1:6" ht="24.75" customHeight="1" x14ac:dyDescent="0.3">
      <c r="D5" s="17"/>
    </row>
    <row r="6" spans="1:6" ht="14.25" customHeight="1" x14ac:dyDescent="0.3">
      <c r="A6" s="18" t="s">
        <v>1</v>
      </c>
      <c r="B6" s="19" t="s">
        <v>2</v>
      </c>
      <c r="C6" s="18" t="s">
        <v>11</v>
      </c>
      <c r="D6" s="32">
        <f ca="1">TODAY()</f>
        <v>46177</v>
      </c>
      <c r="E6" s="31"/>
      <c r="F6" s="25"/>
    </row>
    <row r="7" spans="1:6" ht="14.25" customHeight="1" x14ac:dyDescent="0.3">
      <c r="A7" s="18" t="s">
        <v>3</v>
      </c>
      <c r="B7" s="19" t="s">
        <v>78</v>
      </c>
      <c r="C7" s="18" t="s">
        <v>7</v>
      </c>
      <c r="D7" s="30" t="s">
        <v>8</v>
      </c>
      <c r="E7" s="31"/>
      <c r="F7" s="25"/>
    </row>
    <row r="8" spans="1:6" ht="14.25" customHeight="1" x14ac:dyDescent="0.3">
      <c r="A8" s="18" t="s">
        <v>79</v>
      </c>
      <c r="B8" s="35" t="s">
        <v>4</v>
      </c>
      <c r="C8" s="31"/>
      <c r="D8" s="31"/>
      <c r="E8" s="31"/>
      <c r="F8" s="25"/>
    </row>
    <row r="9" spans="1:6" ht="14.25" customHeight="1" x14ac:dyDescent="0.3">
      <c r="A9" s="18" t="s">
        <v>5</v>
      </c>
      <c r="B9" s="35" t="s">
        <v>6</v>
      </c>
      <c r="C9" s="31"/>
      <c r="D9" s="31"/>
      <c r="E9" s="31"/>
      <c r="F9" s="25"/>
    </row>
    <row r="10" spans="1:6" ht="14.25" customHeight="1" x14ac:dyDescent="0.3">
      <c r="D10" s="17"/>
    </row>
    <row r="11" spans="1:6" ht="14.25" customHeight="1" x14ac:dyDescent="0.3">
      <c r="A11" s="20" t="s">
        <v>15</v>
      </c>
      <c r="B11" s="20" t="s">
        <v>16</v>
      </c>
      <c r="C11" s="20" t="s">
        <v>17</v>
      </c>
      <c r="D11" s="20" t="s">
        <v>18</v>
      </c>
      <c r="E11" s="20" t="s">
        <v>80</v>
      </c>
      <c r="F11" s="20" t="s">
        <v>81</v>
      </c>
    </row>
    <row r="12" spans="1:6" ht="14.25" customHeight="1" x14ac:dyDescent="0.3">
      <c r="A12" s="2" t="s">
        <v>25</v>
      </c>
      <c r="B12" s="3" t="s">
        <v>26</v>
      </c>
      <c r="C12" s="3"/>
      <c r="D12" s="2"/>
      <c r="E12" s="3"/>
      <c r="F12" s="3"/>
    </row>
    <row r="13" spans="1:6" ht="28.8" x14ac:dyDescent="0.3">
      <c r="A13" s="4" t="str">
        <f>'ITEMIZADO INTERNO'!B13</f>
        <v>1.1</v>
      </c>
      <c r="B13" s="5" t="str">
        <f>'ITEMIZADO INTERNO'!C13</f>
        <v>Panel solar bifacial Trina Solar TSM-NEG19RC.20 605 Wp N-Type TopCon (certificado SEC)</v>
      </c>
      <c r="C13" s="4" t="str">
        <f>'ITEMIZADO INTERNO'!D13</f>
        <v>ud</v>
      </c>
      <c r="D13" s="21">
        <f>'ITEMIZADO INTERNO'!E13</f>
        <v>8</v>
      </c>
      <c r="E13" s="8">
        <f>'ITEMIZADO INTERNO'!J13</f>
        <v>111675</v>
      </c>
      <c r="F13" s="8">
        <f>'ITEMIZADO INTERNO'!K13</f>
        <v>893400</v>
      </c>
    </row>
    <row r="14" spans="1:6" ht="28.8" x14ac:dyDescent="0.3">
      <c r="A14" s="4" t="str">
        <f>'ITEMIZADO INTERNO'!B14</f>
        <v>1.2</v>
      </c>
      <c r="B14" s="5" t="str">
        <f>'ITEMIZADO INTERNO'!C14</f>
        <v>Inversor Híbrido Monofásico GoodWe GW3600-ES-20 3,6 kW · 2 MPPT (certificado SEC, Net Billing-ready)</v>
      </c>
      <c r="C14" s="4" t="str">
        <f>'ITEMIZADO INTERNO'!D14</f>
        <v>ud</v>
      </c>
      <c r="D14" s="21">
        <f>'ITEMIZADO INTERNO'!E14</f>
        <v>1</v>
      </c>
      <c r="E14" s="8">
        <f>'ITEMIZADO INTERNO'!J14</f>
        <v>1013780</v>
      </c>
      <c r="F14" s="8">
        <f>'ITEMIZADO INTERNO'!K14</f>
        <v>1013780</v>
      </c>
    </row>
    <row r="15" spans="1:6" ht="14.4" x14ac:dyDescent="0.3">
      <c r="A15" s="2" t="s">
        <v>32</v>
      </c>
      <c r="B15" s="3" t="s">
        <v>33</v>
      </c>
      <c r="C15" s="3"/>
      <c r="D15" s="2"/>
      <c r="E15" s="3"/>
      <c r="F15" s="3"/>
    </row>
    <row r="16" spans="1:6" ht="57.6" x14ac:dyDescent="0.3">
      <c r="A16" s="4" t="str">
        <f>'ITEMIZADO INTERNO'!B16</f>
        <v>2.1</v>
      </c>
      <c r="B16" s="5" t="str">
        <f>'ITEMIZADO INTERNO'!C16</f>
        <v>Estructura aluminio reforzada — pata delantera base ajustable + pata trasera 25°-40° ajustable, clamps medios y finales, anclaje PAT cobre, riel 5000 mm reforzado + coplas</v>
      </c>
      <c r="C16" s="4" t="str">
        <f>'ITEMIZADO INTERNO'!D16</f>
        <v>gl</v>
      </c>
      <c r="D16" s="21">
        <f>'ITEMIZADO INTERNO'!E16</f>
        <v>1</v>
      </c>
      <c r="E16" s="8">
        <f>'ITEMIZADO INTERNO'!J16</f>
        <v>199207.5</v>
      </c>
      <c r="F16" s="8">
        <f>'ITEMIZADO INTERNO'!K16</f>
        <v>199207.5</v>
      </c>
    </row>
    <row r="17" spans="1:6" ht="28.8" x14ac:dyDescent="0.3">
      <c r="A17" s="4" t="str">
        <f>'ITEMIZADO INTERNO'!B17</f>
        <v>2.2</v>
      </c>
      <c r="B17" s="5" t="str">
        <f>'ITEMIZADO INTERNO'!C17</f>
        <v>Cable solar DC H1Z2Z2-K 6 mm² · rollos 50 m negro/rojo (caída V &lt; 1,5%)</v>
      </c>
      <c r="C17" s="4" t="str">
        <f>'ITEMIZADO INTERNO'!D17</f>
        <v>m</v>
      </c>
      <c r="D17" s="21">
        <f>'ITEMIZADO INTERNO'!E17</f>
        <v>100</v>
      </c>
      <c r="E17" s="8">
        <f>'ITEMIZADO INTERNO'!J17</f>
        <v>1185</v>
      </c>
      <c r="F17" s="8">
        <f>'ITEMIZADO INTERNO'!K17</f>
        <v>118500</v>
      </c>
    </row>
    <row r="18" spans="1:6" ht="28.8" x14ac:dyDescent="0.3">
      <c r="A18" s="4" t="str">
        <f>'ITEMIZADO INTERNO'!B18</f>
        <v>2.3</v>
      </c>
      <c r="B18" s="5" t="str">
        <f>'ITEMIZADO INTERNO'!C18</f>
        <v>Cable AC RV-K 3×6 mm² inversor-tablero + canalización (caída V &lt; 3%)</v>
      </c>
      <c r="C18" s="4" t="str">
        <f>'ITEMIZADO INTERNO'!D18</f>
        <v>gl</v>
      </c>
      <c r="D18" s="21">
        <f>'ITEMIZADO INTERNO'!E18</f>
        <v>1</v>
      </c>
      <c r="E18" s="8">
        <f>'ITEMIZADO INTERNO'!J18</f>
        <v>189075</v>
      </c>
      <c r="F18" s="8">
        <f>'ITEMIZADO INTERNO'!K18</f>
        <v>189075</v>
      </c>
    </row>
    <row r="19" spans="1:6" ht="28.8" x14ac:dyDescent="0.3">
      <c r="A19" s="4" t="str">
        <f>'ITEMIZADO INTERNO'!B19</f>
        <v>2.4</v>
      </c>
      <c r="B19" s="5" t="str">
        <f>'ITEMIZADO INTERNO'!C19</f>
        <v>Conectores MC4 macho/hembra, prensaestopas, sujeción y etiquetado normativo</v>
      </c>
      <c r="C19" s="4" t="str">
        <f>'ITEMIZADO INTERNO'!D19</f>
        <v>gl</v>
      </c>
      <c r="D19" s="21">
        <f>'ITEMIZADO INTERNO'!E19</f>
        <v>1</v>
      </c>
      <c r="E19" s="8">
        <f>'ITEMIZADO INTERNO'!J19</f>
        <v>84035</v>
      </c>
      <c r="F19" s="8">
        <f>'ITEMIZADO INTERNO'!K19</f>
        <v>84035</v>
      </c>
    </row>
    <row r="20" spans="1:6" ht="14.4" x14ac:dyDescent="0.3">
      <c r="A20" s="4" t="s">
        <v>44</v>
      </c>
      <c r="B20" s="5" t="str">
        <f>'ITEMIZADO INTERNO'!C20</f>
        <v>Base estructura montaje (Apoyos de Hormigón)</v>
      </c>
      <c r="C20" s="4" t="str">
        <f>'ITEMIZADO INTERNO'!D20</f>
        <v>ud</v>
      </c>
      <c r="D20" s="21">
        <f>'ITEMIZADO INTERNO'!E20</f>
        <v>16</v>
      </c>
      <c r="E20" s="8">
        <f>'ITEMIZADO INTERNO'!J20</f>
        <v>17187.5</v>
      </c>
      <c r="F20" s="8">
        <f>'ITEMIZADO INTERNO'!K20</f>
        <v>275000</v>
      </c>
    </row>
    <row r="21" spans="1:6" ht="14.4" x14ac:dyDescent="0.3">
      <c r="A21" s="2" t="s">
        <v>46</v>
      </c>
      <c r="B21" s="3" t="s">
        <v>47</v>
      </c>
      <c r="C21" s="3"/>
      <c r="D21" s="2"/>
      <c r="E21" s="3"/>
      <c r="F21" s="3"/>
    </row>
    <row r="22" spans="1:6" ht="28.8" x14ac:dyDescent="0.3">
      <c r="A22" s="4" t="str">
        <f>'ITEMIZADO INTERNO'!B22</f>
        <v>3.1</v>
      </c>
      <c r="B22" s="5" t="str">
        <f>'ITEMIZADO INTERNO'!C22</f>
        <v>Gabinete DC IP65 con fusibles gPV 15A + DPS tipo II clase DC 20 kA</v>
      </c>
      <c r="C22" s="4" t="str">
        <f>'ITEMIZADO INTERNO'!D22</f>
        <v>ud</v>
      </c>
      <c r="D22" s="21">
        <f>'ITEMIZADO INTERNO'!E22</f>
        <v>1</v>
      </c>
      <c r="E22" s="8">
        <f>'ITEMIZADO INTERNO'!J22</f>
        <v>189075</v>
      </c>
      <c r="F22" s="8">
        <f>'ITEMIZADO INTERNO'!K22</f>
        <v>189075</v>
      </c>
    </row>
    <row r="23" spans="1:6" ht="43.2" x14ac:dyDescent="0.3">
      <c r="A23" s="4" t="str">
        <f>'ITEMIZADO INTERNO'!B23</f>
        <v>3.2</v>
      </c>
      <c r="B23" s="5" t="str">
        <f>'ITEMIZADO INTERNO'!C23</f>
        <v>Gabinete AC con interruptor termomagnético 25A curva C + diferencial 30 mA tipo A + DPS tipo II 40 kA + barra neutro</v>
      </c>
      <c r="C23" s="4" t="str">
        <f>'ITEMIZADO INTERNO'!D23</f>
        <v>ud</v>
      </c>
      <c r="D23" s="21">
        <f>'ITEMIZADO INTERNO'!E23</f>
        <v>1</v>
      </c>
      <c r="E23" s="8">
        <f>'ITEMIZADO INTERNO'!J23</f>
        <v>231092.5</v>
      </c>
      <c r="F23" s="8">
        <f>'ITEMIZADO INTERNO'!K23</f>
        <v>231092.5</v>
      </c>
    </row>
    <row r="24" spans="1:6" ht="28.8" x14ac:dyDescent="0.3">
      <c r="A24" s="4" t="str">
        <f>'ITEMIZADO INTERNO'!B24</f>
        <v>3.3</v>
      </c>
      <c r="B24" s="5" t="str">
        <f>'ITEMIZADO INTERNO'!C24</f>
        <v>Sistema puesta a tierra: jabalina Cu 2,4 m + cable Cu desnudo 35 mm² + conectores (R ≤ 25 Ω)</v>
      </c>
      <c r="C24" s="4" t="str">
        <f>'ITEMIZADO INTERNO'!D24</f>
        <v>gl</v>
      </c>
      <c r="D24" s="21">
        <f>'ITEMIZADO INTERNO'!E24</f>
        <v>1</v>
      </c>
      <c r="E24" s="8">
        <f>'ITEMIZADO INTERNO'!J24</f>
        <v>157562.5</v>
      </c>
      <c r="F24" s="8">
        <f>'ITEMIZADO INTERNO'!K24</f>
        <v>157562.5</v>
      </c>
    </row>
    <row r="25" spans="1:6" ht="14.4" x14ac:dyDescent="0.3">
      <c r="A25" s="2" t="s">
        <v>54</v>
      </c>
      <c r="B25" s="3" t="s">
        <v>55</v>
      </c>
      <c r="C25" s="3"/>
      <c r="D25" s="2"/>
      <c r="E25" s="3"/>
      <c r="F25" s="3"/>
    </row>
    <row r="26" spans="1:6" ht="28.8" x14ac:dyDescent="0.3">
      <c r="A26" s="4" t="str">
        <f>'ITEMIZADO INTERNO'!B26</f>
        <v>4.1</v>
      </c>
      <c r="B26" s="5" t="str">
        <f>'ITEMIZADO INTERNO'!C26</f>
        <v>Ingeniería: memoria de cálculo + diagrama unifilar + planos planta (con sello eléctrico SEC)</v>
      </c>
      <c r="C26" s="4" t="str">
        <f>'ITEMIZADO INTERNO'!D26</f>
        <v>gl</v>
      </c>
      <c r="D26" s="21">
        <f>'ITEMIZADO INTERNO'!E26</f>
        <v>1</v>
      </c>
      <c r="E26" s="8">
        <f>'ITEMIZADO INTERNO'!J26</f>
        <v>367647.5</v>
      </c>
      <c r="F26" s="8">
        <f>'ITEMIZADO INTERNO'!K26</f>
        <v>367647.5</v>
      </c>
    </row>
    <row r="27" spans="1:6" ht="28.8" x14ac:dyDescent="0.3">
      <c r="A27" s="4" t="str">
        <f>'ITEMIZADO INTERNO'!B27</f>
        <v>4.2</v>
      </c>
      <c r="B27" s="5" t="str">
        <f>'ITEMIZADO INTERNO'!C27</f>
        <v>Tramitación SEC: declaración TE4 + gestión Saesa + inscripción Net Billing (Ley 21.118)</v>
      </c>
      <c r="C27" s="4" t="str">
        <f>'ITEMIZADO INTERNO'!D27</f>
        <v>gl</v>
      </c>
      <c r="D27" s="21">
        <f>'ITEMIZADO INTERNO'!E27</f>
        <v>1</v>
      </c>
      <c r="E27" s="8">
        <f>'ITEMIZADO INTERNO'!J27</f>
        <v>294117.5</v>
      </c>
      <c r="F27" s="8">
        <f>'ITEMIZADO INTERNO'!K27</f>
        <v>294117.5</v>
      </c>
    </row>
    <row r="28" spans="1:6" ht="28.8" x14ac:dyDescent="0.3">
      <c r="A28" s="4" t="str">
        <f>'ITEMIZADO INTERNO'!B28</f>
        <v>4.3</v>
      </c>
      <c r="B28" s="5" t="str">
        <f>'ITEMIZADO INTERNO'!C28</f>
        <v>Mano de obra: instalación electromecánica completa (estructura, módulos, cableado DC/AC, tableros)</v>
      </c>
      <c r="C28" s="4" t="str">
        <f>'ITEMIZADO INTERNO'!D28</f>
        <v>kW</v>
      </c>
      <c r="D28" s="21">
        <f>'ITEMIZADO INTERNO'!E28</f>
        <v>3.6</v>
      </c>
      <c r="E28" s="8">
        <f>'ITEMIZADO INTERNO'!J28</f>
        <v>241597.5</v>
      </c>
      <c r="F28" s="8">
        <f>'ITEMIZADO INTERNO'!K28</f>
        <v>869751</v>
      </c>
    </row>
    <row r="29" spans="1:6" ht="28.8" x14ac:dyDescent="0.3">
      <c r="A29" s="4" t="str">
        <f>'ITEMIZADO INTERNO'!B29</f>
        <v>4.4</v>
      </c>
      <c r="B29" s="5" t="str">
        <f>'ITEMIZADO INTERNO'!C29</f>
        <v>Puesta en servicio: comisionamiento, pruebas funcionales, configuración monitoreo SEMS GoodWe</v>
      </c>
      <c r="C29" s="4" t="str">
        <f>'ITEMIZADO INTERNO'!D29</f>
        <v>gl</v>
      </c>
      <c r="D29" s="21">
        <f>'ITEMIZADO INTERNO'!E29</f>
        <v>1</v>
      </c>
      <c r="E29" s="8">
        <f>'ITEMIZADO INTERNO'!J29</f>
        <v>210085</v>
      </c>
      <c r="F29" s="8">
        <f>'ITEMIZADO INTERNO'!K29</f>
        <v>210085</v>
      </c>
    </row>
    <row r="30" spans="1:6" ht="14.4" x14ac:dyDescent="0.3">
      <c r="A30" s="4" t="str">
        <f>'ITEMIZADO INTERNO'!B30</f>
        <v>4.5</v>
      </c>
      <c r="B30" s="5" t="str">
        <f>'ITEMIZADO INTERNO'!C30</f>
        <v>Flete: Puerto Montt → Valdivia (equipos + materiales)</v>
      </c>
      <c r="C30" s="4" t="str">
        <f>'ITEMIZADO INTERNO'!D30</f>
        <v>gl</v>
      </c>
      <c r="D30" s="21">
        <f>'ITEMIZADO INTERNO'!E30</f>
        <v>1</v>
      </c>
      <c r="E30" s="8">
        <f>'ITEMIZADO INTERNO'!J30</f>
        <v>294117.5</v>
      </c>
      <c r="F30" s="8">
        <f>'ITEMIZADO INTERNO'!K30</f>
        <v>294117.5</v>
      </c>
    </row>
    <row r="31" spans="1:6" ht="14.25" hidden="1" customHeight="1" x14ac:dyDescent="0.3">
      <c r="A31" s="4"/>
      <c r="B31" s="5"/>
      <c r="C31" s="4"/>
      <c r="D31" s="21"/>
      <c r="E31" s="8"/>
      <c r="F31" s="8"/>
    </row>
    <row r="32" spans="1:6" ht="14.25" hidden="1" customHeight="1" x14ac:dyDescent="0.3">
      <c r="A32" s="4"/>
      <c r="B32" s="5"/>
      <c r="C32" s="4"/>
      <c r="D32" s="21"/>
      <c r="E32" s="8"/>
      <c r="F32" s="8"/>
    </row>
    <row r="33" spans="1:6" ht="14.25" hidden="1" customHeight="1" x14ac:dyDescent="0.3">
      <c r="A33" s="4"/>
      <c r="B33" s="5"/>
      <c r="C33" s="4"/>
      <c r="D33" s="21"/>
      <c r="E33" s="8"/>
      <c r="F33" s="8"/>
    </row>
    <row r="34" spans="1:6" ht="14.25" customHeight="1" x14ac:dyDescent="0.3">
      <c r="D34" s="17"/>
    </row>
    <row r="35" spans="1:6" ht="14.25" customHeight="1" x14ac:dyDescent="0.3">
      <c r="B35" s="14" t="s">
        <v>73</v>
      </c>
      <c r="D35" s="17"/>
      <c r="E35" s="18" t="s">
        <v>82</v>
      </c>
      <c r="F35" s="10">
        <f>SUMIF(D12:D33,"&gt;0",F12:F33)</f>
        <v>5386446</v>
      </c>
    </row>
    <row r="36" spans="1:6" ht="14.25" customHeight="1" x14ac:dyDescent="0.3">
      <c r="D36" s="17"/>
      <c r="E36" s="18" t="s">
        <v>70</v>
      </c>
      <c r="F36" s="10">
        <f>F35*0.19</f>
        <v>1023424.74</v>
      </c>
    </row>
    <row r="37" spans="1:6" ht="14.25" customHeight="1" x14ac:dyDescent="0.3">
      <c r="D37" s="17"/>
      <c r="E37" s="22" t="s">
        <v>71</v>
      </c>
      <c r="F37" s="23">
        <f>F35+F36</f>
        <v>6409870.7400000002</v>
      </c>
    </row>
    <row r="38" spans="1:6" ht="14.25" customHeight="1" x14ac:dyDescent="0.3">
      <c r="D38" s="17"/>
    </row>
    <row r="39" spans="1:6" ht="14.25" customHeight="1" x14ac:dyDescent="0.3">
      <c r="A39" s="39" t="s">
        <v>83</v>
      </c>
      <c r="B39" s="34"/>
      <c r="C39" s="34"/>
      <c r="D39" s="34"/>
      <c r="E39" s="34"/>
      <c r="F39" s="29"/>
    </row>
    <row r="40" spans="1:6" ht="153" customHeight="1" x14ac:dyDescent="0.3">
      <c r="A40" s="35" t="s">
        <v>84</v>
      </c>
      <c r="B40" s="31"/>
      <c r="C40" s="31"/>
      <c r="D40" s="31"/>
      <c r="E40" s="31"/>
      <c r="F40" s="25"/>
    </row>
    <row r="41" spans="1:6" ht="14.25" customHeight="1" x14ac:dyDescent="0.3">
      <c r="D41" s="17"/>
    </row>
    <row r="42" spans="1:6" ht="14.25" customHeight="1" x14ac:dyDescent="0.3">
      <c r="A42" s="39" t="s">
        <v>85</v>
      </c>
      <c r="B42" s="34"/>
      <c r="C42" s="34"/>
      <c r="D42" s="34"/>
      <c r="E42" s="34"/>
      <c r="F42" s="29"/>
    </row>
    <row r="43" spans="1:6" ht="14.25" customHeight="1" x14ac:dyDescent="0.3">
      <c r="A43" s="24" t="s">
        <v>12</v>
      </c>
      <c r="B43" s="25"/>
      <c r="C43" s="30" t="s">
        <v>86</v>
      </c>
      <c r="D43" s="31"/>
      <c r="E43" s="31"/>
      <c r="F43" s="25"/>
    </row>
    <row r="44" spans="1:6" ht="14.25" customHeight="1" x14ac:dyDescent="0.3">
      <c r="A44" s="24" t="s">
        <v>87</v>
      </c>
      <c r="B44" s="25"/>
      <c r="C44" s="30" t="s">
        <v>88</v>
      </c>
      <c r="D44" s="31"/>
      <c r="E44" s="31"/>
      <c r="F44" s="25"/>
    </row>
    <row r="45" spans="1:6" ht="14.25" customHeight="1" x14ac:dyDescent="0.3">
      <c r="A45" s="24" t="s">
        <v>89</v>
      </c>
      <c r="B45" s="25"/>
      <c r="C45" s="36" t="s">
        <v>90</v>
      </c>
      <c r="D45" s="37"/>
      <c r="E45" s="37"/>
      <c r="F45" s="37"/>
    </row>
    <row r="46" spans="1:6" ht="14.25" customHeight="1" x14ac:dyDescent="0.3">
      <c r="C46" s="27"/>
      <c r="D46" s="27"/>
      <c r="E46" s="27"/>
      <c r="F46" s="27"/>
    </row>
    <row r="47" spans="1:6" ht="14.25" customHeight="1" x14ac:dyDescent="0.3">
      <c r="A47" s="38" t="s">
        <v>91</v>
      </c>
      <c r="B47" s="34"/>
      <c r="C47" s="34"/>
      <c r="D47" s="34"/>
      <c r="E47" s="34"/>
      <c r="F47" s="29"/>
    </row>
    <row r="48" spans="1:6" ht="14.25" customHeight="1" x14ac:dyDescent="0.3">
      <c r="A48" s="30" t="s">
        <v>75</v>
      </c>
      <c r="B48" s="31"/>
      <c r="C48" s="31"/>
      <c r="D48" s="31"/>
      <c r="E48" s="31"/>
      <c r="F48" s="25"/>
    </row>
    <row r="49" spans="1:6" ht="14.25" customHeight="1" x14ac:dyDescent="0.3">
      <c r="A49" s="30" t="s">
        <v>92</v>
      </c>
      <c r="B49" s="31"/>
      <c r="C49" s="31"/>
      <c r="D49" s="31"/>
      <c r="E49" s="31"/>
      <c r="F49" s="25"/>
    </row>
    <row r="50" spans="1:6" ht="14.25" customHeight="1" x14ac:dyDescent="0.3">
      <c r="A50" s="30" t="s">
        <v>93</v>
      </c>
      <c r="B50" s="31"/>
      <c r="C50" s="31"/>
      <c r="D50" s="31"/>
      <c r="E50" s="31"/>
      <c r="F50" s="25"/>
    </row>
    <row r="51" spans="1:6" ht="14.25" customHeight="1" x14ac:dyDescent="0.3">
      <c r="A51" s="30" t="s">
        <v>94</v>
      </c>
      <c r="B51" s="31"/>
      <c r="C51" s="31"/>
      <c r="D51" s="31"/>
      <c r="E51" s="31"/>
      <c r="F51" s="25"/>
    </row>
    <row r="52" spans="1:6" ht="14.25" customHeight="1" x14ac:dyDescent="0.3">
      <c r="A52" s="30" t="s">
        <v>95</v>
      </c>
      <c r="B52" s="31"/>
      <c r="C52" s="31"/>
      <c r="D52" s="31"/>
      <c r="E52" s="31"/>
      <c r="F52" s="25"/>
    </row>
    <row r="53" spans="1:6" ht="14.25" customHeight="1" x14ac:dyDescent="0.3">
      <c r="D53" s="17"/>
    </row>
    <row r="54" spans="1:6" ht="14.25" customHeight="1" x14ac:dyDescent="0.3">
      <c r="D54" s="17"/>
    </row>
    <row r="55" spans="1:6" ht="14.25" customHeight="1" x14ac:dyDescent="0.3">
      <c r="D55" s="17"/>
    </row>
    <row r="56" spans="1:6" ht="14.25" customHeight="1" x14ac:dyDescent="0.3">
      <c r="D56" s="17"/>
    </row>
    <row r="57" spans="1:6" ht="14.25" customHeight="1" x14ac:dyDescent="0.3">
      <c r="D57" s="17"/>
    </row>
    <row r="58" spans="1:6" ht="14.25" customHeight="1" x14ac:dyDescent="0.3">
      <c r="D58" s="17"/>
    </row>
    <row r="59" spans="1:6" ht="14.25" customHeight="1" x14ac:dyDescent="0.3">
      <c r="D59" s="17"/>
    </row>
    <row r="60" spans="1:6" ht="14.25" customHeight="1" x14ac:dyDescent="0.3">
      <c r="D60" s="17"/>
    </row>
    <row r="61" spans="1:6" ht="14.25" customHeight="1" x14ac:dyDescent="0.3">
      <c r="D61" s="17"/>
    </row>
    <row r="62" spans="1:6" ht="14.25" customHeight="1" x14ac:dyDescent="0.3">
      <c r="D62" s="17"/>
    </row>
    <row r="63" spans="1:6" ht="14.25" customHeight="1" x14ac:dyDescent="0.3">
      <c r="D63" s="17"/>
    </row>
    <row r="64" spans="1:6" ht="14.25" customHeight="1" x14ac:dyDescent="0.3">
      <c r="D64" s="17"/>
    </row>
    <row r="65" spans="4:4" ht="14.25" customHeight="1" x14ac:dyDescent="0.3">
      <c r="D65" s="17"/>
    </row>
    <row r="66" spans="4:4" ht="14.25" customHeight="1" x14ac:dyDescent="0.3">
      <c r="D66" s="17"/>
    </row>
    <row r="67" spans="4:4" ht="14.25" customHeight="1" x14ac:dyDescent="0.3">
      <c r="D67" s="17"/>
    </row>
    <row r="68" spans="4:4" ht="14.25" customHeight="1" x14ac:dyDescent="0.3">
      <c r="D68" s="17"/>
    </row>
    <row r="69" spans="4:4" ht="14.25" customHeight="1" x14ac:dyDescent="0.3">
      <c r="D69" s="17"/>
    </row>
    <row r="70" spans="4:4" ht="14.25" customHeight="1" x14ac:dyDescent="0.3">
      <c r="D70" s="17"/>
    </row>
    <row r="71" spans="4:4" ht="14.25" customHeight="1" x14ac:dyDescent="0.3">
      <c r="D71" s="17"/>
    </row>
    <row r="72" spans="4:4" ht="14.25" customHeight="1" x14ac:dyDescent="0.3">
      <c r="D72" s="17"/>
    </row>
    <row r="73" spans="4:4" ht="14.25" customHeight="1" x14ac:dyDescent="0.3">
      <c r="D73" s="17"/>
    </row>
    <row r="74" spans="4:4" ht="14.25" customHeight="1" x14ac:dyDescent="0.3">
      <c r="D74" s="17"/>
    </row>
    <row r="75" spans="4:4" ht="14.25" customHeight="1" x14ac:dyDescent="0.3">
      <c r="D75" s="17"/>
    </row>
    <row r="76" spans="4:4" ht="14.25" customHeight="1" x14ac:dyDescent="0.3">
      <c r="D76" s="17"/>
    </row>
    <row r="77" spans="4:4" ht="14.25" customHeight="1" x14ac:dyDescent="0.3">
      <c r="D77" s="17"/>
    </row>
    <row r="78" spans="4:4" ht="14.25" customHeight="1" x14ac:dyDescent="0.3">
      <c r="D78" s="17"/>
    </row>
    <row r="79" spans="4:4" ht="14.25" customHeight="1" x14ac:dyDescent="0.3">
      <c r="D79" s="17"/>
    </row>
    <row r="80" spans="4:4" ht="14.25" customHeight="1" x14ac:dyDescent="0.3">
      <c r="D80" s="17"/>
    </row>
    <row r="81" spans="4:4" ht="14.25" customHeight="1" x14ac:dyDescent="0.3">
      <c r="D81" s="17"/>
    </row>
    <row r="82" spans="4:4" ht="14.25" customHeight="1" x14ac:dyDescent="0.3">
      <c r="D82" s="17"/>
    </row>
    <row r="83" spans="4:4" ht="14.25" customHeight="1" x14ac:dyDescent="0.3">
      <c r="D83" s="17"/>
    </row>
    <row r="84" spans="4:4" ht="14.25" customHeight="1" x14ac:dyDescent="0.3">
      <c r="D84" s="17"/>
    </row>
    <row r="85" spans="4:4" ht="14.25" customHeight="1" x14ac:dyDescent="0.3">
      <c r="D85" s="17"/>
    </row>
    <row r="86" spans="4:4" ht="14.25" customHeight="1" x14ac:dyDescent="0.3">
      <c r="D86" s="17"/>
    </row>
    <row r="87" spans="4:4" ht="14.25" customHeight="1" x14ac:dyDescent="0.3">
      <c r="D87" s="17"/>
    </row>
    <row r="88" spans="4:4" ht="14.25" customHeight="1" x14ac:dyDescent="0.3">
      <c r="D88" s="17"/>
    </row>
    <row r="89" spans="4:4" ht="14.25" customHeight="1" x14ac:dyDescent="0.3">
      <c r="D89" s="17"/>
    </row>
    <row r="90" spans="4:4" ht="14.25" customHeight="1" x14ac:dyDescent="0.3">
      <c r="D90" s="17"/>
    </row>
    <row r="91" spans="4:4" ht="14.25" customHeight="1" x14ac:dyDescent="0.3">
      <c r="D91" s="17"/>
    </row>
    <row r="92" spans="4:4" ht="14.25" customHeight="1" x14ac:dyDescent="0.3">
      <c r="D92" s="17"/>
    </row>
    <row r="93" spans="4:4" ht="14.25" customHeight="1" x14ac:dyDescent="0.3">
      <c r="D93" s="17"/>
    </row>
    <row r="94" spans="4:4" ht="14.25" customHeight="1" x14ac:dyDescent="0.3">
      <c r="D94" s="17"/>
    </row>
    <row r="95" spans="4:4" ht="14.25" customHeight="1" x14ac:dyDescent="0.3">
      <c r="D95" s="17"/>
    </row>
    <row r="96" spans="4:4" ht="14.25" customHeight="1" x14ac:dyDescent="0.3">
      <c r="D96" s="17"/>
    </row>
    <row r="97" spans="4:4" ht="14.25" customHeight="1" x14ac:dyDescent="0.3">
      <c r="D97" s="17"/>
    </row>
    <row r="98" spans="4:4" ht="14.25" customHeight="1" x14ac:dyDescent="0.3">
      <c r="D98" s="17"/>
    </row>
    <row r="99" spans="4:4" ht="14.25" customHeight="1" x14ac:dyDescent="0.3">
      <c r="D99" s="17"/>
    </row>
    <row r="100" spans="4:4" ht="14.25" customHeight="1" x14ac:dyDescent="0.3">
      <c r="D100" s="17"/>
    </row>
    <row r="101" spans="4:4" ht="14.25" customHeight="1" x14ac:dyDescent="0.3">
      <c r="D101" s="17"/>
    </row>
    <row r="102" spans="4:4" ht="14.25" customHeight="1" x14ac:dyDescent="0.3">
      <c r="D102" s="17"/>
    </row>
    <row r="103" spans="4:4" ht="14.25" customHeight="1" x14ac:dyDescent="0.3">
      <c r="D103" s="17"/>
    </row>
    <row r="104" spans="4:4" ht="14.25" customHeight="1" x14ac:dyDescent="0.3">
      <c r="D104" s="17"/>
    </row>
    <row r="105" spans="4:4" ht="14.25" customHeight="1" x14ac:dyDescent="0.3">
      <c r="D105" s="17"/>
    </row>
    <row r="106" spans="4:4" ht="14.25" customHeight="1" x14ac:dyDescent="0.3">
      <c r="D106" s="17"/>
    </row>
    <row r="107" spans="4:4" ht="14.25" customHeight="1" x14ac:dyDescent="0.3">
      <c r="D107" s="17"/>
    </row>
    <row r="108" spans="4:4" ht="14.25" customHeight="1" x14ac:dyDescent="0.3">
      <c r="D108" s="17"/>
    </row>
    <row r="109" spans="4:4" ht="14.25" customHeight="1" x14ac:dyDescent="0.3">
      <c r="D109" s="17"/>
    </row>
    <row r="110" spans="4:4" ht="14.25" customHeight="1" x14ac:dyDescent="0.3">
      <c r="D110" s="17"/>
    </row>
    <row r="111" spans="4:4" ht="14.25" customHeight="1" x14ac:dyDescent="0.3">
      <c r="D111" s="17"/>
    </row>
    <row r="112" spans="4:4" ht="14.25" customHeight="1" x14ac:dyDescent="0.3">
      <c r="D112" s="17"/>
    </row>
    <row r="113" spans="4:4" ht="14.25" customHeight="1" x14ac:dyDescent="0.3">
      <c r="D113" s="17"/>
    </row>
    <row r="114" spans="4:4" ht="14.25" customHeight="1" x14ac:dyDescent="0.3">
      <c r="D114" s="17"/>
    </row>
    <row r="115" spans="4:4" ht="14.25" customHeight="1" x14ac:dyDescent="0.3">
      <c r="D115" s="17"/>
    </row>
    <row r="116" spans="4:4" ht="14.25" customHeight="1" x14ac:dyDescent="0.3">
      <c r="D116" s="17"/>
    </row>
    <row r="117" spans="4:4" ht="14.25" customHeight="1" x14ac:dyDescent="0.3">
      <c r="D117" s="17"/>
    </row>
    <row r="118" spans="4:4" ht="14.25" customHeight="1" x14ac:dyDescent="0.3">
      <c r="D118" s="17"/>
    </row>
    <row r="119" spans="4:4" ht="14.25" customHeight="1" x14ac:dyDescent="0.3">
      <c r="D119" s="17"/>
    </row>
    <row r="120" spans="4:4" ht="14.25" customHeight="1" x14ac:dyDescent="0.3">
      <c r="D120" s="17"/>
    </row>
    <row r="121" spans="4:4" ht="14.25" customHeight="1" x14ac:dyDescent="0.3">
      <c r="D121" s="17"/>
    </row>
    <row r="122" spans="4:4" ht="14.25" customHeight="1" x14ac:dyDescent="0.3">
      <c r="D122" s="17"/>
    </row>
    <row r="123" spans="4:4" ht="14.25" customHeight="1" x14ac:dyDescent="0.3">
      <c r="D123" s="17"/>
    </row>
    <row r="124" spans="4:4" ht="14.25" customHeight="1" x14ac:dyDescent="0.3">
      <c r="D124" s="17"/>
    </row>
    <row r="125" spans="4:4" ht="14.25" customHeight="1" x14ac:dyDescent="0.3">
      <c r="D125" s="17"/>
    </row>
    <row r="126" spans="4:4" ht="14.25" customHeight="1" x14ac:dyDescent="0.3">
      <c r="D126" s="17"/>
    </row>
    <row r="127" spans="4:4" ht="14.25" customHeight="1" x14ac:dyDescent="0.3">
      <c r="D127" s="17"/>
    </row>
    <row r="128" spans="4:4" ht="14.25" customHeight="1" x14ac:dyDescent="0.3">
      <c r="D128" s="17"/>
    </row>
    <row r="129" spans="4:4" ht="14.25" customHeight="1" x14ac:dyDescent="0.3">
      <c r="D129" s="17"/>
    </row>
    <row r="130" spans="4:4" ht="14.25" customHeight="1" x14ac:dyDescent="0.3">
      <c r="D130" s="17"/>
    </row>
    <row r="131" spans="4:4" ht="14.25" customHeight="1" x14ac:dyDescent="0.3">
      <c r="D131" s="17"/>
    </row>
    <row r="132" spans="4:4" ht="14.25" customHeight="1" x14ac:dyDescent="0.3">
      <c r="D132" s="17"/>
    </row>
    <row r="133" spans="4:4" ht="14.25" customHeight="1" x14ac:dyDescent="0.3">
      <c r="D133" s="17"/>
    </row>
    <row r="134" spans="4:4" ht="14.25" customHeight="1" x14ac:dyDescent="0.3">
      <c r="D134" s="17"/>
    </row>
    <row r="135" spans="4:4" ht="14.25" customHeight="1" x14ac:dyDescent="0.3">
      <c r="D135" s="17"/>
    </row>
    <row r="136" spans="4:4" ht="14.25" customHeight="1" x14ac:dyDescent="0.3">
      <c r="D136" s="17"/>
    </row>
    <row r="137" spans="4:4" ht="14.25" customHeight="1" x14ac:dyDescent="0.3">
      <c r="D137" s="17"/>
    </row>
    <row r="138" spans="4:4" ht="14.25" customHeight="1" x14ac:dyDescent="0.3">
      <c r="D138" s="17"/>
    </row>
    <row r="139" spans="4:4" ht="14.25" customHeight="1" x14ac:dyDescent="0.3">
      <c r="D139" s="17"/>
    </row>
    <row r="140" spans="4:4" ht="14.25" customHeight="1" x14ac:dyDescent="0.3">
      <c r="D140" s="17"/>
    </row>
    <row r="141" spans="4:4" ht="14.25" customHeight="1" x14ac:dyDescent="0.3">
      <c r="D141" s="17"/>
    </row>
    <row r="142" spans="4:4" ht="14.25" customHeight="1" x14ac:dyDescent="0.3">
      <c r="D142" s="17"/>
    </row>
    <row r="143" spans="4:4" ht="14.25" customHeight="1" x14ac:dyDescent="0.3">
      <c r="D143" s="17"/>
    </row>
    <row r="144" spans="4:4" ht="14.25" customHeight="1" x14ac:dyDescent="0.3">
      <c r="D144" s="17"/>
    </row>
    <row r="145" spans="4:4" ht="14.25" customHeight="1" x14ac:dyDescent="0.3">
      <c r="D145" s="17"/>
    </row>
    <row r="146" spans="4:4" ht="14.25" customHeight="1" x14ac:dyDescent="0.3">
      <c r="D146" s="17"/>
    </row>
    <row r="147" spans="4:4" ht="14.25" customHeight="1" x14ac:dyDescent="0.3">
      <c r="D147" s="17"/>
    </row>
    <row r="148" spans="4:4" ht="14.25" customHeight="1" x14ac:dyDescent="0.3">
      <c r="D148" s="17"/>
    </row>
    <row r="149" spans="4:4" ht="14.25" customHeight="1" x14ac:dyDescent="0.3">
      <c r="D149" s="17"/>
    </row>
    <row r="150" spans="4:4" ht="14.25" customHeight="1" x14ac:dyDescent="0.3">
      <c r="D150" s="17"/>
    </row>
    <row r="151" spans="4:4" ht="14.25" customHeight="1" x14ac:dyDescent="0.3">
      <c r="D151" s="17"/>
    </row>
    <row r="152" spans="4:4" ht="14.25" customHeight="1" x14ac:dyDescent="0.3">
      <c r="D152" s="17"/>
    </row>
    <row r="153" spans="4:4" ht="14.25" customHeight="1" x14ac:dyDescent="0.3">
      <c r="D153" s="17"/>
    </row>
    <row r="154" spans="4:4" ht="14.25" customHeight="1" x14ac:dyDescent="0.3">
      <c r="D154" s="17"/>
    </row>
    <row r="155" spans="4:4" ht="14.25" customHeight="1" x14ac:dyDescent="0.3">
      <c r="D155" s="17"/>
    </row>
    <row r="156" spans="4:4" ht="14.25" customHeight="1" x14ac:dyDescent="0.3">
      <c r="D156" s="17"/>
    </row>
    <row r="157" spans="4:4" ht="14.25" customHeight="1" x14ac:dyDescent="0.3">
      <c r="D157" s="17"/>
    </row>
    <row r="158" spans="4:4" ht="14.25" customHeight="1" x14ac:dyDescent="0.3">
      <c r="D158" s="17"/>
    </row>
    <row r="159" spans="4:4" ht="14.25" customHeight="1" x14ac:dyDescent="0.3">
      <c r="D159" s="17"/>
    </row>
    <row r="160" spans="4:4" ht="14.25" customHeight="1" x14ac:dyDescent="0.3">
      <c r="D160" s="17"/>
    </row>
    <row r="161" spans="4:4" ht="14.25" customHeight="1" x14ac:dyDescent="0.3">
      <c r="D161" s="17"/>
    </row>
    <row r="162" spans="4:4" ht="14.25" customHeight="1" x14ac:dyDescent="0.3">
      <c r="D162" s="17"/>
    </row>
    <row r="163" spans="4:4" ht="14.25" customHeight="1" x14ac:dyDescent="0.3">
      <c r="D163" s="17"/>
    </row>
    <row r="164" spans="4:4" ht="14.25" customHeight="1" x14ac:dyDescent="0.3">
      <c r="D164" s="17"/>
    </row>
    <row r="165" spans="4:4" ht="14.25" customHeight="1" x14ac:dyDescent="0.3">
      <c r="D165" s="17"/>
    </row>
    <row r="166" spans="4:4" ht="14.25" customHeight="1" x14ac:dyDescent="0.3">
      <c r="D166" s="17"/>
    </row>
    <row r="167" spans="4:4" ht="14.25" customHeight="1" x14ac:dyDescent="0.3">
      <c r="D167" s="17"/>
    </row>
    <row r="168" spans="4:4" ht="14.25" customHeight="1" x14ac:dyDescent="0.3">
      <c r="D168" s="17"/>
    </row>
    <row r="169" spans="4:4" ht="14.25" customHeight="1" x14ac:dyDescent="0.3">
      <c r="D169" s="17"/>
    </row>
    <row r="170" spans="4:4" ht="14.25" customHeight="1" x14ac:dyDescent="0.3">
      <c r="D170" s="17"/>
    </row>
    <row r="171" spans="4:4" ht="14.25" customHeight="1" x14ac:dyDescent="0.3">
      <c r="D171" s="17"/>
    </row>
    <row r="172" spans="4:4" ht="14.25" customHeight="1" x14ac:dyDescent="0.3">
      <c r="D172" s="17"/>
    </row>
    <row r="173" spans="4:4" ht="14.25" customHeight="1" x14ac:dyDescent="0.3">
      <c r="D173" s="17"/>
    </row>
    <row r="174" spans="4:4" ht="14.25" customHeight="1" x14ac:dyDescent="0.3">
      <c r="D174" s="17"/>
    </row>
    <row r="175" spans="4:4" ht="14.25" customHeight="1" x14ac:dyDescent="0.3">
      <c r="D175" s="17"/>
    </row>
    <row r="176" spans="4:4" ht="14.25" customHeight="1" x14ac:dyDescent="0.3">
      <c r="D176" s="17"/>
    </row>
    <row r="177" spans="4:4" ht="14.25" customHeight="1" x14ac:dyDescent="0.3">
      <c r="D177" s="17"/>
    </row>
    <row r="178" spans="4:4" ht="14.25" customHeight="1" x14ac:dyDescent="0.3">
      <c r="D178" s="17"/>
    </row>
    <row r="179" spans="4:4" ht="14.25" customHeight="1" x14ac:dyDescent="0.3">
      <c r="D179" s="17"/>
    </row>
    <row r="180" spans="4:4" ht="14.25" customHeight="1" x14ac:dyDescent="0.3">
      <c r="D180" s="17"/>
    </row>
    <row r="181" spans="4:4" ht="14.25" customHeight="1" x14ac:dyDescent="0.3">
      <c r="D181" s="17"/>
    </row>
    <row r="182" spans="4:4" ht="14.25" customHeight="1" x14ac:dyDescent="0.3">
      <c r="D182" s="17"/>
    </row>
    <row r="183" spans="4:4" ht="14.25" customHeight="1" x14ac:dyDescent="0.3">
      <c r="D183" s="17"/>
    </row>
    <row r="184" spans="4:4" ht="14.25" customHeight="1" x14ac:dyDescent="0.3">
      <c r="D184" s="17"/>
    </row>
    <row r="185" spans="4:4" ht="14.25" customHeight="1" x14ac:dyDescent="0.3">
      <c r="D185" s="17"/>
    </row>
    <row r="186" spans="4:4" ht="14.25" customHeight="1" x14ac:dyDescent="0.3">
      <c r="D186" s="17"/>
    </row>
    <row r="187" spans="4:4" ht="14.25" customHeight="1" x14ac:dyDescent="0.3">
      <c r="D187" s="17"/>
    </row>
    <row r="188" spans="4:4" ht="14.25" customHeight="1" x14ac:dyDescent="0.3">
      <c r="D188" s="17"/>
    </row>
    <row r="189" spans="4:4" ht="14.25" customHeight="1" x14ac:dyDescent="0.3">
      <c r="D189" s="17"/>
    </row>
    <row r="190" spans="4:4" ht="14.25" customHeight="1" x14ac:dyDescent="0.3">
      <c r="D190" s="17"/>
    </row>
    <row r="191" spans="4:4" ht="14.25" customHeight="1" x14ac:dyDescent="0.3">
      <c r="D191" s="17"/>
    </row>
    <row r="192" spans="4:4" ht="14.25" customHeight="1" x14ac:dyDescent="0.3">
      <c r="D192" s="17"/>
    </row>
    <row r="193" spans="4:4" ht="14.25" customHeight="1" x14ac:dyDescent="0.3">
      <c r="D193" s="17"/>
    </row>
    <row r="194" spans="4:4" ht="14.25" customHeight="1" x14ac:dyDescent="0.3">
      <c r="D194" s="17"/>
    </row>
    <row r="195" spans="4:4" ht="14.25" customHeight="1" x14ac:dyDescent="0.3">
      <c r="D195" s="17"/>
    </row>
    <row r="196" spans="4:4" ht="14.25" customHeight="1" x14ac:dyDescent="0.3">
      <c r="D196" s="17"/>
    </row>
    <row r="197" spans="4:4" ht="14.25" customHeight="1" x14ac:dyDescent="0.3">
      <c r="D197" s="17"/>
    </row>
    <row r="198" spans="4:4" ht="14.25" customHeight="1" x14ac:dyDescent="0.3">
      <c r="D198" s="17"/>
    </row>
    <row r="199" spans="4:4" ht="14.25" customHeight="1" x14ac:dyDescent="0.3">
      <c r="D199" s="17"/>
    </row>
    <row r="200" spans="4:4" ht="14.25" customHeight="1" x14ac:dyDescent="0.3">
      <c r="D200" s="17"/>
    </row>
    <row r="201" spans="4:4" ht="14.25" customHeight="1" x14ac:dyDescent="0.3">
      <c r="D201" s="17"/>
    </row>
    <row r="202" spans="4:4" ht="14.25" customHeight="1" x14ac:dyDescent="0.3">
      <c r="D202" s="17"/>
    </row>
    <row r="203" spans="4:4" ht="14.25" customHeight="1" x14ac:dyDescent="0.3">
      <c r="D203" s="17"/>
    </row>
    <row r="204" spans="4:4" ht="14.25" customHeight="1" x14ac:dyDescent="0.3">
      <c r="D204" s="17"/>
    </row>
    <row r="205" spans="4:4" ht="14.25" customHeight="1" x14ac:dyDescent="0.3">
      <c r="D205" s="17"/>
    </row>
    <row r="206" spans="4:4" ht="14.25" customHeight="1" x14ac:dyDescent="0.3">
      <c r="D206" s="17"/>
    </row>
    <row r="207" spans="4:4" ht="14.25" customHeight="1" x14ac:dyDescent="0.3">
      <c r="D207" s="17"/>
    </row>
    <row r="208" spans="4:4" ht="14.25" customHeight="1" x14ac:dyDescent="0.3">
      <c r="D208" s="17"/>
    </row>
    <row r="209" spans="4:4" ht="14.25" customHeight="1" x14ac:dyDescent="0.3">
      <c r="D209" s="17"/>
    </row>
    <row r="210" spans="4:4" ht="14.25" customHeight="1" x14ac:dyDescent="0.3">
      <c r="D210" s="17"/>
    </row>
    <row r="211" spans="4:4" ht="14.25" customHeight="1" x14ac:dyDescent="0.3">
      <c r="D211" s="17"/>
    </row>
    <row r="212" spans="4:4" ht="14.25" customHeight="1" x14ac:dyDescent="0.3">
      <c r="D212" s="17"/>
    </row>
    <row r="213" spans="4:4" ht="14.25" customHeight="1" x14ac:dyDescent="0.3">
      <c r="D213" s="17"/>
    </row>
    <row r="214" spans="4:4" ht="14.25" customHeight="1" x14ac:dyDescent="0.3">
      <c r="D214" s="17"/>
    </row>
    <row r="215" spans="4:4" ht="14.25" customHeight="1" x14ac:dyDescent="0.3">
      <c r="D215" s="17"/>
    </row>
    <row r="216" spans="4:4" ht="14.25" customHeight="1" x14ac:dyDescent="0.3">
      <c r="D216" s="17"/>
    </row>
    <row r="217" spans="4:4" ht="14.25" customHeight="1" x14ac:dyDescent="0.3">
      <c r="D217" s="17"/>
    </row>
    <row r="218" spans="4:4" ht="14.25" customHeight="1" x14ac:dyDescent="0.3">
      <c r="D218" s="17"/>
    </row>
    <row r="219" spans="4:4" ht="14.25" customHeight="1" x14ac:dyDescent="0.3">
      <c r="D219" s="17"/>
    </row>
    <row r="220" spans="4:4" ht="14.25" customHeight="1" x14ac:dyDescent="0.3">
      <c r="D220" s="17"/>
    </row>
    <row r="221" spans="4:4" ht="14.25" customHeight="1" x14ac:dyDescent="0.3">
      <c r="D221" s="17"/>
    </row>
    <row r="222" spans="4:4" ht="14.25" customHeight="1" x14ac:dyDescent="0.3">
      <c r="D222" s="17"/>
    </row>
    <row r="223" spans="4:4" ht="14.25" customHeight="1" x14ac:dyDescent="0.3">
      <c r="D223" s="17"/>
    </row>
    <row r="224" spans="4:4" ht="14.25" customHeight="1" x14ac:dyDescent="0.3">
      <c r="D224" s="17"/>
    </row>
    <row r="225" spans="4:4" ht="14.25" customHeight="1" x14ac:dyDescent="0.3">
      <c r="D225" s="17"/>
    </row>
    <row r="226" spans="4:4" ht="14.25" customHeight="1" x14ac:dyDescent="0.3">
      <c r="D226" s="17"/>
    </row>
    <row r="227" spans="4:4" ht="14.25" customHeight="1" x14ac:dyDescent="0.3">
      <c r="D227" s="17"/>
    </row>
    <row r="228" spans="4:4" ht="14.25" customHeight="1" x14ac:dyDescent="0.3">
      <c r="D228" s="17"/>
    </row>
    <row r="229" spans="4:4" ht="14.25" customHeight="1" x14ac:dyDescent="0.3">
      <c r="D229" s="17"/>
    </row>
    <row r="230" spans="4:4" ht="14.25" customHeight="1" x14ac:dyDescent="0.3">
      <c r="D230" s="17"/>
    </row>
    <row r="231" spans="4:4" ht="14.25" customHeight="1" x14ac:dyDescent="0.3">
      <c r="D231" s="17"/>
    </row>
    <row r="232" spans="4:4" ht="14.25" customHeight="1" x14ac:dyDescent="0.3">
      <c r="D232" s="17"/>
    </row>
    <row r="233" spans="4:4" ht="14.25" customHeight="1" x14ac:dyDescent="0.3">
      <c r="D233" s="17"/>
    </row>
    <row r="234" spans="4:4" ht="14.25" customHeight="1" x14ac:dyDescent="0.3">
      <c r="D234" s="17"/>
    </row>
    <row r="235" spans="4:4" ht="14.25" customHeight="1" x14ac:dyDescent="0.3">
      <c r="D235" s="17"/>
    </row>
    <row r="236" spans="4:4" ht="14.25" customHeight="1" x14ac:dyDescent="0.3">
      <c r="D236" s="17"/>
    </row>
    <row r="237" spans="4:4" ht="14.25" customHeight="1" x14ac:dyDescent="0.3">
      <c r="D237" s="17"/>
    </row>
    <row r="238" spans="4:4" ht="14.25" customHeight="1" x14ac:dyDescent="0.3">
      <c r="D238" s="17"/>
    </row>
    <row r="239" spans="4:4" ht="14.25" customHeight="1" x14ac:dyDescent="0.3">
      <c r="D239" s="17"/>
    </row>
    <row r="240" spans="4:4" ht="14.25" customHeight="1" x14ac:dyDescent="0.3">
      <c r="D240" s="17"/>
    </row>
    <row r="241" spans="4:4" ht="14.25" customHeight="1" x14ac:dyDescent="0.3">
      <c r="D241" s="17"/>
    </row>
    <row r="242" spans="4:4" ht="14.25" customHeight="1" x14ac:dyDescent="0.3">
      <c r="D242" s="17"/>
    </row>
    <row r="243" spans="4:4" ht="14.25" customHeight="1" x14ac:dyDescent="0.3">
      <c r="D243" s="17"/>
    </row>
    <row r="244" spans="4:4" ht="14.25" customHeight="1" x14ac:dyDescent="0.3">
      <c r="D244" s="17"/>
    </row>
    <row r="245" spans="4:4" ht="14.25" customHeight="1" x14ac:dyDescent="0.3">
      <c r="D245" s="17"/>
    </row>
    <row r="246" spans="4:4" ht="14.25" customHeight="1" x14ac:dyDescent="0.3">
      <c r="D246" s="17"/>
    </row>
    <row r="247" spans="4:4" ht="14.25" customHeight="1" x14ac:dyDescent="0.3">
      <c r="D247" s="17"/>
    </row>
    <row r="248" spans="4:4" ht="14.25" customHeight="1" x14ac:dyDescent="0.3">
      <c r="D248" s="17"/>
    </row>
    <row r="249" spans="4:4" ht="14.25" customHeight="1" x14ac:dyDescent="0.3">
      <c r="D249" s="17"/>
    </row>
    <row r="250" spans="4:4" ht="14.25" customHeight="1" x14ac:dyDescent="0.3">
      <c r="D250" s="17"/>
    </row>
    <row r="251" spans="4:4" ht="14.25" customHeight="1" x14ac:dyDescent="0.3">
      <c r="D251" s="17"/>
    </row>
    <row r="252" spans="4:4" ht="14.25" customHeight="1" x14ac:dyDescent="0.3">
      <c r="D252" s="17"/>
    </row>
    <row r="253" spans="4:4" ht="14.25" customHeight="1" x14ac:dyDescent="0.3">
      <c r="D253" s="17"/>
    </row>
    <row r="254" spans="4:4" ht="14.25" customHeight="1" x14ac:dyDescent="0.3">
      <c r="D254" s="17"/>
    </row>
    <row r="255" spans="4:4" ht="14.25" customHeight="1" x14ac:dyDescent="0.3">
      <c r="D255" s="17"/>
    </row>
    <row r="256" spans="4:4" ht="14.25" customHeight="1" x14ac:dyDescent="0.3">
      <c r="D256" s="17"/>
    </row>
    <row r="257" spans="4:4" ht="14.25" customHeight="1" x14ac:dyDescent="0.3">
      <c r="D257" s="17"/>
    </row>
    <row r="258" spans="4:4" ht="14.25" customHeight="1" x14ac:dyDescent="0.3">
      <c r="D258" s="17"/>
    </row>
    <row r="259" spans="4:4" ht="14.25" customHeight="1" x14ac:dyDescent="0.3">
      <c r="D259" s="17"/>
    </row>
    <row r="260" spans="4:4" ht="14.25" customHeight="1" x14ac:dyDescent="0.3">
      <c r="D260" s="17"/>
    </row>
    <row r="261" spans="4:4" ht="14.25" customHeight="1" x14ac:dyDescent="0.3">
      <c r="D261" s="17"/>
    </row>
    <row r="262" spans="4:4" ht="14.25" customHeight="1" x14ac:dyDescent="0.3">
      <c r="D262" s="17"/>
    </row>
    <row r="263" spans="4:4" ht="14.25" customHeight="1" x14ac:dyDescent="0.3">
      <c r="D263" s="17"/>
    </row>
    <row r="264" spans="4:4" ht="14.25" customHeight="1" x14ac:dyDescent="0.3">
      <c r="D264" s="17"/>
    </row>
    <row r="265" spans="4:4" ht="14.25" customHeight="1" x14ac:dyDescent="0.3">
      <c r="D265" s="17"/>
    </row>
    <row r="266" spans="4:4" ht="14.25" customHeight="1" x14ac:dyDescent="0.3">
      <c r="D266" s="17"/>
    </row>
    <row r="267" spans="4:4" ht="14.25" customHeight="1" x14ac:dyDescent="0.3">
      <c r="D267" s="17"/>
    </row>
    <row r="268" spans="4:4" ht="14.25" customHeight="1" x14ac:dyDescent="0.3">
      <c r="D268" s="17"/>
    </row>
    <row r="269" spans="4:4" ht="14.25" customHeight="1" x14ac:dyDescent="0.3">
      <c r="D269" s="17"/>
    </row>
    <row r="270" spans="4:4" ht="14.25" customHeight="1" x14ac:dyDescent="0.3">
      <c r="D270" s="17"/>
    </row>
    <row r="271" spans="4:4" ht="14.25" customHeight="1" x14ac:dyDescent="0.3">
      <c r="D271" s="17"/>
    </row>
    <row r="272" spans="4:4" ht="14.25" customHeight="1" x14ac:dyDescent="0.3">
      <c r="D272" s="17"/>
    </row>
    <row r="273" spans="4:4" ht="14.25" customHeight="1" x14ac:dyDescent="0.3">
      <c r="D273" s="17"/>
    </row>
    <row r="274" spans="4:4" ht="14.25" customHeight="1" x14ac:dyDescent="0.3">
      <c r="D274" s="17"/>
    </row>
    <row r="275" spans="4:4" ht="14.25" customHeight="1" x14ac:dyDescent="0.3">
      <c r="D275" s="17"/>
    </row>
    <row r="276" spans="4:4" ht="14.25" customHeight="1" x14ac:dyDescent="0.3">
      <c r="D276" s="17"/>
    </row>
    <row r="277" spans="4:4" ht="14.25" customHeight="1" x14ac:dyDescent="0.3">
      <c r="D277" s="17"/>
    </row>
    <row r="278" spans="4:4" ht="14.25" customHeight="1" x14ac:dyDescent="0.3">
      <c r="D278" s="17"/>
    </row>
    <row r="279" spans="4:4" ht="14.25" customHeight="1" x14ac:dyDescent="0.3">
      <c r="D279" s="17"/>
    </row>
    <row r="280" spans="4:4" ht="14.25" customHeight="1" x14ac:dyDescent="0.3">
      <c r="D280" s="17"/>
    </row>
    <row r="281" spans="4:4" ht="14.25" customHeight="1" x14ac:dyDescent="0.3">
      <c r="D281" s="17"/>
    </row>
    <row r="282" spans="4:4" ht="14.25" customHeight="1" x14ac:dyDescent="0.3">
      <c r="D282" s="17"/>
    </row>
    <row r="283" spans="4:4" ht="14.25" customHeight="1" x14ac:dyDescent="0.3">
      <c r="D283" s="17"/>
    </row>
    <row r="284" spans="4:4" ht="14.25" customHeight="1" x14ac:dyDescent="0.3">
      <c r="D284" s="17"/>
    </row>
    <row r="285" spans="4:4" ht="14.25" customHeight="1" x14ac:dyDescent="0.3">
      <c r="D285" s="17"/>
    </row>
    <row r="286" spans="4:4" ht="14.25" customHeight="1" x14ac:dyDescent="0.3">
      <c r="D286" s="17"/>
    </row>
    <row r="287" spans="4:4" ht="14.25" customHeight="1" x14ac:dyDescent="0.3">
      <c r="D287" s="17"/>
    </row>
    <row r="288" spans="4:4" ht="14.25" customHeight="1" x14ac:dyDescent="0.3">
      <c r="D288" s="17"/>
    </row>
    <row r="289" spans="4:4" ht="14.25" customHeight="1" x14ac:dyDescent="0.3">
      <c r="D289" s="17"/>
    </row>
    <row r="290" spans="4:4" ht="14.25" customHeight="1" x14ac:dyDescent="0.3">
      <c r="D290" s="17"/>
    </row>
    <row r="291" spans="4:4" ht="14.25" customHeight="1" x14ac:dyDescent="0.3">
      <c r="D291" s="17"/>
    </row>
    <row r="292" spans="4:4" ht="14.25" customHeight="1" x14ac:dyDescent="0.3">
      <c r="D292" s="17"/>
    </row>
    <row r="293" spans="4:4" ht="14.25" customHeight="1" x14ac:dyDescent="0.3">
      <c r="D293" s="17"/>
    </row>
    <row r="294" spans="4:4" ht="14.25" customHeight="1" x14ac:dyDescent="0.3">
      <c r="D294" s="17"/>
    </row>
    <row r="295" spans="4:4" ht="14.25" customHeight="1" x14ac:dyDescent="0.3">
      <c r="D295" s="17"/>
    </row>
    <row r="296" spans="4:4" ht="14.25" customHeight="1" x14ac:dyDescent="0.3">
      <c r="D296" s="17"/>
    </row>
    <row r="297" spans="4:4" ht="14.25" customHeight="1" x14ac:dyDescent="0.3">
      <c r="D297" s="17"/>
    </row>
    <row r="298" spans="4:4" ht="14.25" customHeight="1" x14ac:dyDescent="0.3">
      <c r="D298" s="17"/>
    </row>
    <row r="299" spans="4:4" ht="14.25" customHeight="1" x14ac:dyDescent="0.3">
      <c r="D299" s="17"/>
    </row>
    <row r="300" spans="4:4" ht="14.25" customHeight="1" x14ac:dyDescent="0.3">
      <c r="D300" s="17"/>
    </row>
    <row r="301" spans="4:4" ht="14.25" customHeight="1" x14ac:dyDescent="0.3">
      <c r="D301" s="17"/>
    </row>
    <row r="302" spans="4:4" ht="14.25" customHeight="1" x14ac:dyDescent="0.3">
      <c r="D302" s="17"/>
    </row>
    <row r="303" spans="4:4" ht="14.25" customHeight="1" x14ac:dyDescent="0.3">
      <c r="D303" s="17"/>
    </row>
    <row r="304" spans="4:4" ht="14.25" customHeight="1" x14ac:dyDescent="0.3">
      <c r="D304" s="17"/>
    </row>
    <row r="305" spans="4:4" ht="14.25" customHeight="1" x14ac:dyDescent="0.3">
      <c r="D305" s="17"/>
    </row>
    <row r="306" spans="4:4" ht="14.25" customHeight="1" x14ac:dyDescent="0.3">
      <c r="D306" s="17"/>
    </row>
    <row r="307" spans="4:4" ht="14.25" customHeight="1" x14ac:dyDescent="0.3">
      <c r="D307" s="17"/>
    </row>
    <row r="308" spans="4:4" ht="14.25" customHeight="1" x14ac:dyDescent="0.3">
      <c r="D308" s="17"/>
    </row>
    <row r="309" spans="4:4" ht="14.25" customHeight="1" x14ac:dyDescent="0.3">
      <c r="D309" s="17"/>
    </row>
    <row r="310" spans="4:4" ht="14.25" customHeight="1" x14ac:dyDescent="0.3">
      <c r="D310" s="17"/>
    </row>
    <row r="311" spans="4:4" ht="14.25" customHeight="1" x14ac:dyDescent="0.3">
      <c r="D311" s="17"/>
    </row>
    <row r="312" spans="4:4" ht="14.25" customHeight="1" x14ac:dyDescent="0.3">
      <c r="D312" s="17"/>
    </row>
    <row r="313" spans="4:4" ht="14.25" customHeight="1" x14ac:dyDescent="0.3">
      <c r="D313" s="17"/>
    </row>
    <row r="314" spans="4:4" ht="14.25" customHeight="1" x14ac:dyDescent="0.3">
      <c r="D314" s="17"/>
    </row>
    <row r="315" spans="4:4" ht="14.25" customHeight="1" x14ac:dyDescent="0.3">
      <c r="D315" s="17"/>
    </row>
    <row r="316" spans="4:4" ht="14.25" customHeight="1" x14ac:dyDescent="0.3">
      <c r="D316" s="17"/>
    </row>
    <row r="317" spans="4:4" ht="14.25" customHeight="1" x14ac:dyDescent="0.3">
      <c r="D317" s="17"/>
    </row>
    <row r="318" spans="4:4" ht="14.25" customHeight="1" x14ac:dyDescent="0.3">
      <c r="D318" s="17"/>
    </row>
    <row r="319" spans="4:4" ht="14.25" customHeight="1" x14ac:dyDescent="0.3">
      <c r="D319" s="17"/>
    </row>
    <row r="320" spans="4:4" ht="14.25" customHeight="1" x14ac:dyDescent="0.3">
      <c r="D320" s="17"/>
    </row>
    <row r="321" spans="4:4" ht="14.25" customHeight="1" x14ac:dyDescent="0.3">
      <c r="D321" s="17"/>
    </row>
    <row r="322" spans="4:4" ht="14.25" customHeight="1" x14ac:dyDescent="0.3">
      <c r="D322" s="17"/>
    </row>
    <row r="323" spans="4:4" ht="14.25" customHeight="1" x14ac:dyDescent="0.3">
      <c r="D323" s="17"/>
    </row>
    <row r="324" spans="4:4" ht="14.25" customHeight="1" x14ac:dyDescent="0.3">
      <c r="D324" s="17"/>
    </row>
    <row r="325" spans="4:4" ht="14.25" customHeight="1" x14ac:dyDescent="0.3">
      <c r="D325" s="17"/>
    </row>
    <row r="326" spans="4:4" ht="14.25" customHeight="1" x14ac:dyDescent="0.3">
      <c r="D326" s="17"/>
    </row>
    <row r="327" spans="4:4" ht="14.25" customHeight="1" x14ac:dyDescent="0.3">
      <c r="D327" s="17"/>
    </row>
    <row r="328" spans="4:4" ht="14.25" customHeight="1" x14ac:dyDescent="0.3">
      <c r="D328" s="17"/>
    </row>
    <row r="329" spans="4:4" ht="14.25" customHeight="1" x14ac:dyDescent="0.3">
      <c r="D329" s="17"/>
    </row>
    <row r="330" spans="4:4" ht="14.25" customHeight="1" x14ac:dyDescent="0.3">
      <c r="D330" s="17"/>
    </row>
    <row r="331" spans="4:4" ht="14.25" customHeight="1" x14ac:dyDescent="0.3">
      <c r="D331" s="17"/>
    </row>
    <row r="332" spans="4:4" ht="14.25" customHeight="1" x14ac:dyDescent="0.3">
      <c r="D332" s="17"/>
    </row>
    <row r="333" spans="4:4" ht="14.25" customHeight="1" x14ac:dyDescent="0.3">
      <c r="D333" s="17"/>
    </row>
    <row r="334" spans="4:4" ht="14.25" customHeight="1" x14ac:dyDescent="0.3">
      <c r="D334" s="17"/>
    </row>
    <row r="335" spans="4:4" ht="14.25" customHeight="1" x14ac:dyDescent="0.3">
      <c r="D335" s="17"/>
    </row>
    <row r="336" spans="4:4" ht="14.25" customHeight="1" x14ac:dyDescent="0.3">
      <c r="D336" s="17"/>
    </row>
    <row r="337" spans="4:4" ht="14.25" customHeight="1" x14ac:dyDescent="0.3">
      <c r="D337" s="17"/>
    </row>
    <row r="338" spans="4:4" ht="14.25" customHeight="1" x14ac:dyDescent="0.3">
      <c r="D338" s="17"/>
    </row>
    <row r="339" spans="4:4" ht="14.25" customHeight="1" x14ac:dyDescent="0.3">
      <c r="D339" s="17"/>
    </row>
    <row r="340" spans="4:4" ht="14.25" customHeight="1" x14ac:dyDescent="0.3">
      <c r="D340" s="17"/>
    </row>
    <row r="341" spans="4:4" ht="14.25" customHeight="1" x14ac:dyDescent="0.3">
      <c r="D341" s="17"/>
    </row>
    <row r="342" spans="4:4" ht="14.25" customHeight="1" x14ac:dyDescent="0.3">
      <c r="D342" s="17"/>
    </row>
    <row r="343" spans="4:4" ht="14.25" customHeight="1" x14ac:dyDescent="0.3">
      <c r="D343" s="17"/>
    </row>
    <row r="344" spans="4:4" ht="14.25" customHeight="1" x14ac:dyDescent="0.3">
      <c r="D344" s="17"/>
    </row>
    <row r="345" spans="4:4" ht="14.25" customHeight="1" x14ac:dyDescent="0.3">
      <c r="D345" s="17"/>
    </row>
    <row r="346" spans="4:4" ht="14.25" customHeight="1" x14ac:dyDescent="0.3">
      <c r="D346" s="17"/>
    </row>
    <row r="347" spans="4:4" ht="14.25" customHeight="1" x14ac:dyDescent="0.3">
      <c r="D347" s="17"/>
    </row>
    <row r="348" spans="4:4" ht="14.25" customHeight="1" x14ac:dyDescent="0.3">
      <c r="D348" s="17"/>
    </row>
    <row r="349" spans="4:4" ht="14.25" customHeight="1" x14ac:dyDescent="0.3">
      <c r="D349" s="17"/>
    </row>
    <row r="350" spans="4:4" ht="14.25" customHeight="1" x14ac:dyDescent="0.3">
      <c r="D350" s="17"/>
    </row>
    <row r="351" spans="4:4" ht="14.25" customHeight="1" x14ac:dyDescent="0.3">
      <c r="D351" s="17"/>
    </row>
    <row r="352" spans="4:4" ht="14.25" customHeight="1" x14ac:dyDescent="0.3">
      <c r="D352" s="17"/>
    </row>
    <row r="353" spans="4:4" ht="14.25" customHeight="1" x14ac:dyDescent="0.3">
      <c r="D353" s="17"/>
    </row>
    <row r="354" spans="4:4" ht="14.25" customHeight="1" x14ac:dyDescent="0.3">
      <c r="D354" s="17"/>
    </row>
    <row r="355" spans="4:4" ht="14.25" customHeight="1" x14ac:dyDescent="0.3">
      <c r="D355" s="17"/>
    </row>
    <row r="356" spans="4:4" ht="14.25" customHeight="1" x14ac:dyDescent="0.3">
      <c r="D356" s="17"/>
    </row>
    <row r="357" spans="4:4" ht="14.25" customHeight="1" x14ac:dyDescent="0.3">
      <c r="D357" s="17"/>
    </row>
    <row r="358" spans="4:4" ht="14.25" customHeight="1" x14ac:dyDescent="0.3">
      <c r="D358" s="17"/>
    </row>
    <row r="359" spans="4:4" ht="14.25" customHeight="1" x14ac:dyDescent="0.3">
      <c r="D359" s="17"/>
    </row>
    <row r="360" spans="4:4" ht="14.25" customHeight="1" x14ac:dyDescent="0.3">
      <c r="D360" s="17"/>
    </row>
    <row r="361" spans="4:4" ht="14.25" customHeight="1" x14ac:dyDescent="0.3">
      <c r="D361" s="17"/>
    </row>
    <row r="362" spans="4:4" ht="14.25" customHeight="1" x14ac:dyDescent="0.3">
      <c r="D362" s="17"/>
    </row>
    <row r="363" spans="4:4" ht="14.25" customHeight="1" x14ac:dyDescent="0.3">
      <c r="D363" s="17"/>
    </row>
    <row r="364" spans="4:4" ht="14.25" customHeight="1" x14ac:dyDescent="0.3">
      <c r="D364" s="17"/>
    </row>
    <row r="365" spans="4:4" ht="14.25" customHeight="1" x14ac:dyDescent="0.3">
      <c r="D365" s="17"/>
    </row>
    <row r="366" spans="4:4" ht="14.25" customHeight="1" x14ac:dyDescent="0.3">
      <c r="D366" s="17"/>
    </row>
    <row r="367" spans="4:4" ht="14.25" customHeight="1" x14ac:dyDescent="0.3">
      <c r="D367" s="17"/>
    </row>
    <row r="368" spans="4:4" ht="14.25" customHeight="1" x14ac:dyDescent="0.3">
      <c r="D368" s="17"/>
    </row>
    <row r="369" spans="4:4" ht="14.25" customHeight="1" x14ac:dyDescent="0.3">
      <c r="D369" s="17"/>
    </row>
    <row r="370" spans="4:4" ht="14.25" customHeight="1" x14ac:dyDescent="0.3">
      <c r="D370" s="17"/>
    </row>
    <row r="371" spans="4:4" ht="14.25" customHeight="1" x14ac:dyDescent="0.3">
      <c r="D371" s="17"/>
    </row>
    <row r="372" spans="4:4" ht="14.25" customHeight="1" x14ac:dyDescent="0.3">
      <c r="D372" s="17"/>
    </row>
    <row r="373" spans="4:4" ht="14.25" customHeight="1" x14ac:dyDescent="0.3">
      <c r="D373" s="17"/>
    </row>
    <row r="374" spans="4:4" ht="14.25" customHeight="1" x14ac:dyDescent="0.3">
      <c r="D374" s="17"/>
    </row>
    <row r="375" spans="4:4" ht="14.25" customHeight="1" x14ac:dyDescent="0.3">
      <c r="D375" s="17"/>
    </row>
    <row r="376" spans="4:4" ht="14.25" customHeight="1" x14ac:dyDescent="0.3">
      <c r="D376" s="17"/>
    </row>
    <row r="377" spans="4:4" ht="14.25" customHeight="1" x14ac:dyDescent="0.3">
      <c r="D377" s="17"/>
    </row>
    <row r="378" spans="4:4" ht="14.25" customHeight="1" x14ac:dyDescent="0.3">
      <c r="D378" s="17"/>
    </row>
    <row r="379" spans="4:4" ht="14.25" customHeight="1" x14ac:dyDescent="0.3">
      <c r="D379" s="17"/>
    </row>
    <row r="380" spans="4:4" ht="14.25" customHeight="1" x14ac:dyDescent="0.3">
      <c r="D380" s="17"/>
    </row>
    <row r="381" spans="4:4" ht="14.25" customHeight="1" x14ac:dyDescent="0.3">
      <c r="D381" s="17"/>
    </row>
    <row r="382" spans="4:4" ht="14.25" customHeight="1" x14ac:dyDescent="0.3">
      <c r="D382" s="17"/>
    </row>
    <row r="383" spans="4:4" ht="14.25" customHeight="1" x14ac:dyDescent="0.3">
      <c r="D383" s="17"/>
    </row>
    <row r="384" spans="4:4" ht="14.25" customHeight="1" x14ac:dyDescent="0.3">
      <c r="D384" s="17"/>
    </row>
    <row r="385" spans="4:4" ht="14.25" customHeight="1" x14ac:dyDescent="0.3">
      <c r="D385" s="17"/>
    </row>
    <row r="386" spans="4:4" ht="14.25" customHeight="1" x14ac:dyDescent="0.3">
      <c r="D386" s="17"/>
    </row>
    <row r="387" spans="4:4" ht="14.25" customHeight="1" x14ac:dyDescent="0.3">
      <c r="D387" s="17"/>
    </row>
    <row r="388" spans="4:4" ht="14.25" customHeight="1" x14ac:dyDescent="0.3">
      <c r="D388" s="17"/>
    </row>
    <row r="389" spans="4:4" ht="14.25" customHeight="1" x14ac:dyDescent="0.3">
      <c r="D389" s="17"/>
    </row>
    <row r="390" spans="4:4" ht="14.25" customHeight="1" x14ac:dyDescent="0.3">
      <c r="D390" s="17"/>
    </row>
    <row r="391" spans="4:4" ht="14.25" customHeight="1" x14ac:dyDescent="0.3">
      <c r="D391" s="17"/>
    </row>
    <row r="392" spans="4:4" ht="14.25" customHeight="1" x14ac:dyDescent="0.3">
      <c r="D392" s="17"/>
    </row>
    <row r="393" spans="4:4" ht="14.25" customHeight="1" x14ac:dyDescent="0.3">
      <c r="D393" s="17"/>
    </row>
    <row r="394" spans="4:4" ht="14.25" customHeight="1" x14ac:dyDescent="0.3">
      <c r="D394" s="17"/>
    </row>
    <row r="395" spans="4:4" ht="14.25" customHeight="1" x14ac:dyDescent="0.3">
      <c r="D395" s="17"/>
    </row>
    <row r="396" spans="4:4" ht="14.25" customHeight="1" x14ac:dyDescent="0.3">
      <c r="D396" s="17"/>
    </row>
    <row r="397" spans="4:4" ht="14.25" customHeight="1" x14ac:dyDescent="0.3">
      <c r="D397" s="17"/>
    </row>
    <row r="398" spans="4:4" ht="14.25" customHeight="1" x14ac:dyDescent="0.3">
      <c r="D398" s="17"/>
    </row>
    <row r="399" spans="4:4" ht="14.25" customHeight="1" x14ac:dyDescent="0.3">
      <c r="D399" s="17"/>
    </row>
    <row r="400" spans="4:4" ht="14.25" customHeight="1" x14ac:dyDescent="0.3">
      <c r="D400" s="17"/>
    </row>
    <row r="401" spans="4:4" ht="14.25" customHeight="1" x14ac:dyDescent="0.3">
      <c r="D401" s="17"/>
    </row>
    <row r="402" spans="4:4" ht="14.25" customHeight="1" x14ac:dyDescent="0.3">
      <c r="D402" s="17"/>
    </row>
    <row r="403" spans="4:4" ht="14.25" customHeight="1" x14ac:dyDescent="0.3">
      <c r="D403" s="17"/>
    </row>
    <row r="404" spans="4:4" ht="14.25" customHeight="1" x14ac:dyDescent="0.3">
      <c r="D404" s="17"/>
    </row>
    <row r="405" spans="4:4" ht="14.25" customHeight="1" x14ac:dyDescent="0.3">
      <c r="D405" s="17"/>
    </row>
    <row r="406" spans="4:4" ht="14.25" customHeight="1" x14ac:dyDescent="0.3">
      <c r="D406" s="17"/>
    </row>
    <row r="407" spans="4:4" ht="14.25" customHeight="1" x14ac:dyDescent="0.3">
      <c r="D407" s="17"/>
    </row>
    <row r="408" spans="4:4" ht="14.25" customHeight="1" x14ac:dyDescent="0.3">
      <c r="D408" s="17"/>
    </row>
    <row r="409" spans="4:4" ht="14.25" customHeight="1" x14ac:dyDescent="0.3">
      <c r="D409" s="17"/>
    </row>
    <row r="410" spans="4:4" ht="14.25" customHeight="1" x14ac:dyDescent="0.3">
      <c r="D410" s="17"/>
    </row>
    <row r="411" spans="4:4" ht="14.25" customHeight="1" x14ac:dyDescent="0.3">
      <c r="D411" s="17"/>
    </row>
    <row r="412" spans="4:4" ht="14.25" customHeight="1" x14ac:dyDescent="0.3">
      <c r="D412" s="17"/>
    </row>
    <row r="413" spans="4:4" ht="14.25" customHeight="1" x14ac:dyDescent="0.3">
      <c r="D413" s="17"/>
    </row>
    <row r="414" spans="4:4" ht="14.25" customHeight="1" x14ac:dyDescent="0.3">
      <c r="D414" s="17"/>
    </row>
    <row r="415" spans="4:4" ht="14.25" customHeight="1" x14ac:dyDescent="0.3">
      <c r="D415" s="17"/>
    </row>
    <row r="416" spans="4:4" ht="14.25" customHeight="1" x14ac:dyDescent="0.3">
      <c r="D416" s="17"/>
    </row>
    <row r="417" spans="4:4" ht="14.25" customHeight="1" x14ac:dyDescent="0.3">
      <c r="D417" s="17"/>
    </row>
    <row r="418" spans="4:4" ht="14.25" customHeight="1" x14ac:dyDescent="0.3">
      <c r="D418" s="17"/>
    </row>
    <row r="419" spans="4:4" ht="14.25" customHeight="1" x14ac:dyDescent="0.3">
      <c r="D419" s="17"/>
    </row>
    <row r="420" spans="4:4" ht="14.25" customHeight="1" x14ac:dyDescent="0.3">
      <c r="D420" s="17"/>
    </row>
    <row r="421" spans="4:4" ht="14.25" customHeight="1" x14ac:dyDescent="0.3">
      <c r="D421" s="17"/>
    </row>
    <row r="422" spans="4:4" ht="14.25" customHeight="1" x14ac:dyDescent="0.3">
      <c r="D422" s="17"/>
    </row>
    <row r="423" spans="4:4" ht="14.25" customHeight="1" x14ac:dyDescent="0.3">
      <c r="D423" s="17"/>
    </row>
    <row r="424" spans="4:4" ht="14.25" customHeight="1" x14ac:dyDescent="0.3">
      <c r="D424" s="17"/>
    </row>
    <row r="425" spans="4:4" ht="14.25" customHeight="1" x14ac:dyDescent="0.3">
      <c r="D425" s="17"/>
    </row>
    <row r="426" spans="4:4" ht="14.25" customHeight="1" x14ac:dyDescent="0.3">
      <c r="D426" s="17"/>
    </row>
    <row r="427" spans="4:4" ht="14.25" customHeight="1" x14ac:dyDescent="0.3">
      <c r="D427" s="17"/>
    </row>
    <row r="428" spans="4:4" ht="14.25" customHeight="1" x14ac:dyDescent="0.3">
      <c r="D428" s="17"/>
    </row>
    <row r="429" spans="4:4" ht="14.25" customHeight="1" x14ac:dyDescent="0.3">
      <c r="D429" s="17"/>
    </row>
    <row r="430" spans="4:4" ht="14.25" customHeight="1" x14ac:dyDescent="0.3">
      <c r="D430" s="17"/>
    </row>
    <row r="431" spans="4:4" ht="14.25" customHeight="1" x14ac:dyDescent="0.3">
      <c r="D431" s="17"/>
    </row>
    <row r="432" spans="4:4" ht="14.25" customHeight="1" x14ac:dyDescent="0.3">
      <c r="D432" s="17"/>
    </row>
    <row r="433" spans="4:4" ht="14.25" customHeight="1" x14ac:dyDescent="0.3">
      <c r="D433" s="17"/>
    </row>
    <row r="434" spans="4:4" ht="14.25" customHeight="1" x14ac:dyDescent="0.3">
      <c r="D434" s="17"/>
    </row>
    <row r="435" spans="4:4" ht="14.25" customHeight="1" x14ac:dyDescent="0.3">
      <c r="D435" s="17"/>
    </row>
    <row r="436" spans="4:4" ht="14.25" customHeight="1" x14ac:dyDescent="0.3">
      <c r="D436" s="17"/>
    </row>
    <row r="437" spans="4:4" ht="14.25" customHeight="1" x14ac:dyDescent="0.3">
      <c r="D437" s="17"/>
    </row>
    <row r="438" spans="4:4" ht="14.25" customHeight="1" x14ac:dyDescent="0.3">
      <c r="D438" s="17"/>
    </row>
    <row r="439" spans="4:4" ht="14.25" customHeight="1" x14ac:dyDescent="0.3">
      <c r="D439" s="17"/>
    </row>
    <row r="440" spans="4:4" ht="14.25" customHeight="1" x14ac:dyDescent="0.3">
      <c r="D440" s="17"/>
    </row>
    <row r="441" spans="4:4" ht="14.25" customHeight="1" x14ac:dyDescent="0.3">
      <c r="D441" s="17"/>
    </row>
    <row r="442" spans="4:4" ht="14.25" customHeight="1" x14ac:dyDescent="0.3">
      <c r="D442" s="17"/>
    </row>
    <row r="443" spans="4:4" ht="14.25" customHeight="1" x14ac:dyDescent="0.3">
      <c r="D443" s="17"/>
    </row>
    <row r="444" spans="4:4" ht="14.25" customHeight="1" x14ac:dyDescent="0.3">
      <c r="D444" s="17"/>
    </row>
    <row r="445" spans="4:4" ht="14.25" customHeight="1" x14ac:dyDescent="0.3">
      <c r="D445" s="17"/>
    </row>
    <row r="446" spans="4:4" ht="14.25" customHeight="1" x14ac:dyDescent="0.3">
      <c r="D446" s="17"/>
    </row>
    <row r="447" spans="4:4" ht="14.25" customHeight="1" x14ac:dyDescent="0.3">
      <c r="D447" s="17"/>
    </row>
    <row r="448" spans="4:4" ht="14.25" customHeight="1" x14ac:dyDescent="0.3">
      <c r="D448" s="17"/>
    </row>
    <row r="449" spans="4:4" ht="14.25" customHeight="1" x14ac:dyDescent="0.3">
      <c r="D449" s="17"/>
    </row>
    <row r="450" spans="4:4" ht="14.25" customHeight="1" x14ac:dyDescent="0.3">
      <c r="D450" s="17"/>
    </row>
    <row r="451" spans="4:4" ht="14.25" customHeight="1" x14ac:dyDescent="0.3">
      <c r="D451" s="17"/>
    </row>
    <row r="452" spans="4:4" ht="14.25" customHeight="1" x14ac:dyDescent="0.3">
      <c r="D452" s="17"/>
    </row>
    <row r="453" spans="4:4" ht="14.25" customHeight="1" x14ac:dyDescent="0.3">
      <c r="D453" s="17"/>
    </row>
    <row r="454" spans="4:4" ht="14.25" customHeight="1" x14ac:dyDescent="0.3">
      <c r="D454" s="17"/>
    </row>
    <row r="455" spans="4:4" ht="14.25" customHeight="1" x14ac:dyDescent="0.3">
      <c r="D455" s="17"/>
    </row>
    <row r="456" spans="4:4" ht="14.25" customHeight="1" x14ac:dyDescent="0.3">
      <c r="D456" s="17"/>
    </row>
    <row r="457" spans="4:4" ht="14.25" customHeight="1" x14ac:dyDescent="0.3">
      <c r="D457" s="17"/>
    </row>
    <row r="458" spans="4:4" ht="14.25" customHeight="1" x14ac:dyDescent="0.3">
      <c r="D458" s="17"/>
    </row>
    <row r="459" spans="4:4" ht="14.25" customHeight="1" x14ac:dyDescent="0.3">
      <c r="D459" s="17"/>
    </row>
    <row r="460" spans="4:4" ht="14.25" customHeight="1" x14ac:dyDescent="0.3">
      <c r="D460" s="17"/>
    </row>
    <row r="461" spans="4:4" ht="14.25" customHeight="1" x14ac:dyDescent="0.3">
      <c r="D461" s="17"/>
    </row>
    <row r="462" spans="4:4" ht="14.25" customHeight="1" x14ac:dyDescent="0.3">
      <c r="D462" s="17"/>
    </row>
    <row r="463" spans="4:4" ht="14.25" customHeight="1" x14ac:dyDescent="0.3">
      <c r="D463" s="17"/>
    </row>
    <row r="464" spans="4:4" ht="14.25" customHeight="1" x14ac:dyDescent="0.3">
      <c r="D464" s="17"/>
    </row>
    <row r="465" spans="4:4" ht="14.25" customHeight="1" x14ac:dyDescent="0.3">
      <c r="D465" s="17"/>
    </row>
    <row r="466" spans="4:4" ht="14.25" customHeight="1" x14ac:dyDescent="0.3">
      <c r="D466" s="17"/>
    </row>
    <row r="467" spans="4:4" ht="14.25" customHeight="1" x14ac:dyDescent="0.3">
      <c r="D467" s="17"/>
    </row>
    <row r="468" spans="4:4" ht="14.25" customHeight="1" x14ac:dyDescent="0.3">
      <c r="D468" s="17"/>
    </row>
    <row r="469" spans="4:4" ht="14.25" customHeight="1" x14ac:dyDescent="0.3">
      <c r="D469" s="17"/>
    </row>
    <row r="470" spans="4:4" ht="14.25" customHeight="1" x14ac:dyDescent="0.3">
      <c r="D470" s="17"/>
    </row>
    <row r="471" spans="4:4" ht="14.25" customHeight="1" x14ac:dyDescent="0.3">
      <c r="D471" s="17"/>
    </row>
    <row r="472" spans="4:4" ht="14.25" customHeight="1" x14ac:dyDescent="0.3">
      <c r="D472" s="17"/>
    </row>
    <row r="473" spans="4:4" ht="14.25" customHeight="1" x14ac:dyDescent="0.3">
      <c r="D473" s="17"/>
    </row>
    <row r="474" spans="4:4" ht="14.25" customHeight="1" x14ac:dyDescent="0.3">
      <c r="D474" s="17"/>
    </row>
    <row r="475" spans="4:4" ht="14.25" customHeight="1" x14ac:dyDescent="0.3">
      <c r="D475" s="17"/>
    </row>
    <row r="476" spans="4:4" ht="14.25" customHeight="1" x14ac:dyDescent="0.3">
      <c r="D476" s="17"/>
    </row>
    <row r="477" spans="4:4" ht="14.25" customHeight="1" x14ac:dyDescent="0.3">
      <c r="D477" s="17"/>
    </row>
    <row r="478" spans="4:4" ht="14.25" customHeight="1" x14ac:dyDescent="0.3">
      <c r="D478" s="17"/>
    </row>
    <row r="479" spans="4:4" ht="14.25" customHeight="1" x14ac:dyDescent="0.3">
      <c r="D479" s="17"/>
    </row>
    <row r="480" spans="4:4" ht="14.25" customHeight="1" x14ac:dyDescent="0.3">
      <c r="D480" s="17"/>
    </row>
    <row r="481" spans="4:4" ht="14.25" customHeight="1" x14ac:dyDescent="0.3">
      <c r="D481" s="17"/>
    </row>
    <row r="482" spans="4:4" ht="14.25" customHeight="1" x14ac:dyDescent="0.3">
      <c r="D482" s="17"/>
    </row>
    <row r="483" spans="4:4" ht="14.25" customHeight="1" x14ac:dyDescent="0.3">
      <c r="D483" s="17"/>
    </row>
    <row r="484" spans="4:4" ht="14.25" customHeight="1" x14ac:dyDescent="0.3">
      <c r="D484" s="17"/>
    </row>
    <row r="485" spans="4:4" ht="14.25" customHeight="1" x14ac:dyDescent="0.3">
      <c r="D485" s="17"/>
    </row>
    <row r="486" spans="4:4" ht="14.25" customHeight="1" x14ac:dyDescent="0.3">
      <c r="D486" s="17"/>
    </row>
    <row r="487" spans="4:4" ht="14.25" customHeight="1" x14ac:dyDescent="0.3">
      <c r="D487" s="17"/>
    </row>
    <row r="488" spans="4:4" ht="14.25" customHeight="1" x14ac:dyDescent="0.3">
      <c r="D488" s="17"/>
    </row>
    <row r="489" spans="4:4" ht="14.25" customHeight="1" x14ac:dyDescent="0.3">
      <c r="D489" s="17"/>
    </row>
    <row r="490" spans="4:4" ht="14.25" customHeight="1" x14ac:dyDescent="0.3">
      <c r="D490" s="17"/>
    </row>
    <row r="491" spans="4:4" ht="14.25" customHeight="1" x14ac:dyDescent="0.3">
      <c r="D491" s="17"/>
    </row>
    <row r="492" spans="4:4" ht="14.25" customHeight="1" x14ac:dyDescent="0.3">
      <c r="D492" s="17"/>
    </row>
    <row r="493" spans="4:4" ht="14.25" customHeight="1" x14ac:dyDescent="0.3">
      <c r="D493" s="17"/>
    </row>
    <row r="494" spans="4:4" ht="14.25" customHeight="1" x14ac:dyDescent="0.3">
      <c r="D494" s="17"/>
    </row>
    <row r="495" spans="4:4" ht="14.25" customHeight="1" x14ac:dyDescent="0.3">
      <c r="D495" s="17"/>
    </row>
    <row r="496" spans="4:4" ht="14.25" customHeight="1" x14ac:dyDescent="0.3">
      <c r="D496" s="17"/>
    </row>
    <row r="497" spans="4:4" ht="14.25" customHeight="1" x14ac:dyDescent="0.3">
      <c r="D497" s="17"/>
    </row>
    <row r="498" spans="4:4" ht="14.25" customHeight="1" x14ac:dyDescent="0.3">
      <c r="D498" s="17"/>
    </row>
    <row r="499" spans="4:4" ht="14.25" customHeight="1" x14ac:dyDescent="0.3">
      <c r="D499" s="17"/>
    </row>
    <row r="500" spans="4:4" ht="14.25" customHeight="1" x14ac:dyDescent="0.3">
      <c r="D500" s="17"/>
    </row>
    <row r="501" spans="4:4" ht="14.25" customHeight="1" x14ac:dyDescent="0.3">
      <c r="D501" s="17"/>
    </row>
    <row r="502" spans="4:4" ht="14.25" customHeight="1" x14ac:dyDescent="0.3">
      <c r="D502" s="17"/>
    </row>
    <row r="503" spans="4:4" ht="14.25" customHeight="1" x14ac:dyDescent="0.3">
      <c r="D503" s="17"/>
    </row>
    <row r="504" spans="4:4" ht="14.25" customHeight="1" x14ac:dyDescent="0.3">
      <c r="D504" s="17"/>
    </row>
    <row r="505" spans="4:4" ht="14.25" customHeight="1" x14ac:dyDescent="0.3">
      <c r="D505" s="17"/>
    </row>
    <row r="506" spans="4:4" ht="14.25" customHeight="1" x14ac:dyDescent="0.3">
      <c r="D506" s="17"/>
    </row>
    <row r="507" spans="4:4" ht="14.25" customHeight="1" x14ac:dyDescent="0.3">
      <c r="D507" s="17"/>
    </row>
    <row r="508" spans="4:4" ht="14.25" customHeight="1" x14ac:dyDescent="0.3">
      <c r="D508" s="17"/>
    </row>
    <row r="509" spans="4:4" ht="14.25" customHeight="1" x14ac:dyDescent="0.3">
      <c r="D509" s="17"/>
    </row>
    <row r="510" spans="4:4" ht="14.25" customHeight="1" x14ac:dyDescent="0.3">
      <c r="D510" s="17"/>
    </row>
    <row r="511" spans="4:4" ht="14.25" customHeight="1" x14ac:dyDescent="0.3">
      <c r="D511" s="17"/>
    </row>
    <row r="512" spans="4:4" ht="14.25" customHeight="1" x14ac:dyDescent="0.3">
      <c r="D512" s="17"/>
    </row>
    <row r="513" spans="4:4" ht="14.25" customHeight="1" x14ac:dyDescent="0.3">
      <c r="D513" s="17"/>
    </row>
    <row r="514" spans="4:4" ht="14.25" customHeight="1" x14ac:dyDescent="0.3">
      <c r="D514" s="17"/>
    </row>
    <row r="515" spans="4:4" ht="14.25" customHeight="1" x14ac:dyDescent="0.3">
      <c r="D515" s="17"/>
    </row>
    <row r="516" spans="4:4" ht="14.25" customHeight="1" x14ac:dyDescent="0.3">
      <c r="D516" s="17"/>
    </row>
    <row r="517" spans="4:4" ht="14.25" customHeight="1" x14ac:dyDescent="0.3">
      <c r="D517" s="17"/>
    </row>
    <row r="518" spans="4:4" ht="14.25" customHeight="1" x14ac:dyDescent="0.3">
      <c r="D518" s="17"/>
    </row>
    <row r="519" spans="4:4" ht="14.25" customHeight="1" x14ac:dyDescent="0.3">
      <c r="D519" s="17"/>
    </row>
    <row r="520" spans="4:4" ht="14.25" customHeight="1" x14ac:dyDescent="0.3">
      <c r="D520" s="17"/>
    </row>
    <row r="521" spans="4:4" ht="14.25" customHeight="1" x14ac:dyDescent="0.3">
      <c r="D521" s="17"/>
    </row>
    <row r="522" spans="4:4" ht="14.25" customHeight="1" x14ac:dyDescent="0.3">
      <c r="D522" s="17"/>
    </row>
    <row r="523" spans="4:4" ht="14.25" customHeight="1" x14ac:dyDescent="0.3">
      <c r="D523" s="17"/>
    </row>
    <row r="524" spans="4:4" ht="14.25" customHeight="1" x14ac:dyDescent="0.3">
      <c r="D524" s="17"/>
    </row>
    <row r="525" spans="4:4" ht="14.25" customHeight="1" x14ac:dyDescent="0.3">
      <c r="D525" s="17"/>
    </row>
    <row r="526" spans="4:4" ht="14.25" customHeight="1" x14ac:dyDescent="0.3">
      <c r="D526" s="17"/>
    </row>
    <row r="527" spans="4:4" ht="14.25" customHeight="1" x14ac:dyDescent="0.3">
      <c r="D527" s="17"/>
    </row>
    <row r="528" spans="4:4" ht="14.25" customHeight="1" x14ac:dyDescent="0.3">
      <c r="D528" s="17"/>
    </row>
    <row r="529" spans="4:4" ht="14.25" customHeight="1" x14ac:dyDescent="0.3">
      <c r="D529" s="17"/>
    </row>
    <row r="530" spans="4:4" ht="14.25" customHeight="1" x14ac:dyDescent="0.3">
      <c r="D530" s="17"/>
    </row>
    <row r="531" spans="4:4" ht="14.25" customHeight="1" x14ac:dyDescent="0.3">
      <c r="D531" s="17"/>
    </row>
    <row r="532" spans="4:4" ht="14.25" customHeight="1" x14ac:dyDescent="0.3">
      <c r="D532" s="17"/>
    </row>
    <row r="533" spans="4:4" ht="14.25" customHeight="1" x14ac:dyDescent="0.3">
      <c r="D533" s="17"/>
    </row>
    <row r="534" spans="4:4" ht="14.25" customHeight="1" x14ac:dyDescent="0.3">
      <c r="D534" s="17"/>
    </row>
    <row r="535" spans="4:4" ht="14.25" customHeight="1" x14ac:dyDescent="0.3">
      <c r="D535" s="17"/>
    </row>
    <row r="536" spans="4:4" ht="14.25" customHeight="1" x14ac:dyDescent="0.3">
      <c r="D536" s="17"/>
    </row>
    <row r="537" spans="4:4" ht="14.25" customHeight="1" x14ac:dyDescent="0.3">
      <c r="D537" s="17"/>
    </row>
    <row r="538" spans="4:4" ht="14.25" customHeight="1" x14ac:dyDescent="0.3">
      <c r="D538" s="17"/>
    </row>
    <row r="539" spans="4:4" ht="14.25" customHeight="1" x14ac:dyDescent="0.3">
      <c r="D539" s="17"/>
    </row>
    <row r="540" spans="4:4" ht="14.25" customHeight="1" x14ac:dyDescent="0.3">
      <c r="D540" s="17"/>
    </row>
    <row r="541" spans="4:4" ht="14.25" customHeight="1" x14ac:dyDescent="0.3">
      <c r="D541" s="17"/>
    </row>
    <row r="542" spans="4:4" ht="14.25" customHeight="1" x14ac:dyDescent="0.3">
      <c r="D542" s="17"/>
    </row>
    <row r="543" spans="4:4" ht="14.25" customHeight="1" x14ac:dyDescent="0.3">
      <c r="D543" s="17"/>
    </row>
    <row r="544" spans="4:4" ht="14.25" customHeight="1" x14ac:dyDescent="0.3">
      <c r="D544" s="17"/>
    </row>
    <row r="545" spans="4:4" ht="14.25" customHeight="1" x14ac:dyDescent="0.3">
      <c r="D545" s="17"/>
    </row>
    <row r="546" spans="4:4" ht="14.25" customHeight="1" x14ac:dyDescent="0.3">
      <c r="D546" s="17"/>
    </row>
    <row r="547" spans="4:4" ht="14.25" customHeight="1" x14ac:dyDescent="0.3">
      <c r="D547" s="17"/>
    </row>
    <row r="548" spans="4:4" ht="14.25" customHeight="1" x14ac:dyDescent="0.3">
      <c r="D548" s="17"/>
    </row>
    <row r="549" spans="4:4" ht="14.25" customHeight="1" x14ac:dyDescent="0.3">
      <c r="D549" s="17"/>
    </row>
    <row r="550" spans="4:4" ht="14.25" customHeight="1" x14ac:dyDescent="0.3">
      <c r="D550" s="17"/>
    </row>
    <row r="551" spans="4:4" ht="14.25" customHeight="1" x14ac:dyDescent="0.3">
      <c r="D551" s="17"/>
    </row>
    <row r="552" spans="4:4" ht="14.25" customHeight="1" x14ac:dyDescent="0.3">
      <c r="D552" s="17"/>
    </row>
    <row r="553" spans="4:4" ht="14.25" customHeight="1" x14ac:dyDescent="0.3">
      <c r="D553" s="17"/>
    </row>
    <row r="554" spans="4:4" ht="14.25" customHeight="1" x14ac:dyDescent="0.3">
      <c r="D554" s="17"/>
    </row>
    <row r="555" spans="4:4" ht="14.25" customHeight="1" x14ac:dyDescent="0.3">
      <c r="D555" s="17"/>
    </row>
    <row r="556" spans="4:4" ht="14.25" customHeight="1" x14ac:dyDescent="0.3">
      <c r="D556" s="17"/>
    </row>
    <row r="557" spans="4:4" ht="14.25" customHeight="1" x14ac:dyDescent="0.3">
      <c r="D557" s="17"/>
    </row>
    <row r="558" spans="4:4" ht="14.25" customHeight="1" x14ac:dyDescent="0.3">
      <c r="D558" s="17"/>
    </row>
    <row r="559" spans="4:4" ht="14.25" customHeight="1" x14ac:dyDescent="0.3">
      <c r="D559" s="17"/>
    </row>
    <row r="560" spans="4:4" ht="14.25" customHeight="1" x14ac:dyDescent="0.3">
      <c r="D560" s="17"/>
    </row>
    <row r="561" spans="4:4" ht="14.25" customHeight="1" x14ac:dyDescent="0.3">
      <c r="D561" s="17"/>
    </row>
    <row r="562" spans="4:4" ht="14.25" customHeight="1" x14ac:dyDescent="0.3">
      <c r="D562" s="17"/>
    </row>
    <row r="563" spans="4:4" ht="14.25" customHeight="1" x14ac:dyDescent="0.3">
      <c r="D563" s="17"/>
    </row>
    <row r="564" spans="4:4" ht="14.25" customHeight="1" x14ac:dyDescent="0.3">
      <c r="D564" s="17"/>
    </row>
    <row r="565" spans="4:4" ht="14.25" customHeight="1" x14ac:dyDescent="0.3">
      <c r="D565" s="17"/>
    </row>
    <row r="566" spans="4:4" ht="14.25" customHeight="1" x14ac:dyDescent="0.3">
      <c r="D566" s="17"/>
    </row>
    <row r="567" spans="4:4" ht="14.25" customHeight="1" x14ac:dyDescent="0.3">
      <c r="D567" s="17"/>
    </row>
    <row r="568" spans="4:4" ht="14.25" customHeight="1" x14ac:dyDescent="0.3">
      <c r="D568" s="17"/>
    </row>
    <row r="569" spans="4:4" ht="14.25" customHeight="1" x14ac:dyDescent="0.3">
      <c r="D569" s="17"/>
    </row>
    <row r="570" spans="4:4" ht="14.25" customHeight="1" x14ac:dyDescent="0.3">
      <c r="D570" s="17"/>
    </row>
    <row r="571" spans="4:4" ht="14.25" customHeight="1" x14ac:dyDescent="0.3">
      <c r="D571" s="17"/>
    </row>
    <row r="572" spans="4:4" ht="14.25" customHeight="1" x14ac:dyDescent="0.3">
      <c r="D572" s="17"/>
    </row>
    <row r="573" spans="4:4" ht="14.25" customHeight="1" x14ac:dyDescent="0.3">
      <c r="D573" s="17"/>
    </row>
    <row r="574" spans="4:4" ht="14.25" customHeight="1" x14ac:dyDescent="0.3">
      <c r="D574" s="17"/>
    </row>
    <row r="575" spans="4:4" ht="14.25" customHeight="1" x14ac:dyDescent="0.3">
      <c r="D575" s="17"/>
    </row>
    <row r="576" spans="4:4" ht="14.25" customHeight="1" x14ac:dyDescent="0.3">
      <c r="D576" s="17"/>
    </row>
    <row r="577" spans="4:4" ht="14.25" customHeight="1" x14ac:dyDescent="0.3">
      <c r="D577" s="17"/>
    </row>
    <row r="578" spans="4:4" ht="14.25" customHeight="1" x14ac:dyDescent="0.3">
      <c r="D578" s="17"/>
    </row>
    <row r="579" spans="4:4" ht="14.25" customHeight="1" x14ac:dyDescent="0.3">
      <c r="D579" s="17"/>
    </row>
    <row r="580" spans="4:4" ht="14.25" customHeight="1" x14ac:dyDescent="0.3">
      <c r="D580" s="17"/>
    </row>
    <row r="581" spans="4:4" ht="14.25" customHeight="1" x14ac:dyDescent="0.3">
      <c r="D581" s="17"/>
    </row>
    <row r="582" spans="4:4" ht="14.25" customHeight="1" x14ac:dyDescent="0.3">
      <c r="D582" s="17"/>
    </row>
    <row r="583" spans="4:4" ht="14.25" customHeight="1" x14ac:dyDescent="0.3">
      <c r="D583" s="17"/>
    </row>
    <row r="584" spans="4:4" ht="14.25" customHeight="1" x14ac:dyDescent="0.3">
      <c r="D584" s="17"/>
    </row>
    <row r="585" spans="4:4" ht="14.25" customHeight="1" x14ac:dyDescent="0.3">
      <c r="D585" s="17"/>
    </row>
    <row r="586" spans="4:4" ht="14.25" customHeight="1" x14ac:dyDescent="0.3">
      <c r="D586" s="17"/>
    </row>
    <row r="587" spans="4:4" ht="14.25" customHeight="1" x14ac:dyDescent="0.3">
      <c r="D587" s="17"/>
    </row>
    <row r="588" spans="4:4" ht="14.25" customHeight="1" x14ac:dyDescent="0.3">
      <c r="D588" s="17"/>
    </row>
    <row r="589" spans="4:4" ht="14.25" customHeight="1" x14ac:dyDescent="0.3">
      <c r="D589" s="17"/>
    </row>
    <row r="590" spans="4:4" ht="14.25" customHeight="1" x14ac:dyDescent="0.3">
      <c r="D590" s="17"/>
    </row>
    <row r="591" spans="4:4" ht="14.25" customHeight="1" x14ac:dyDescent="0.3">
      <c r="D591" s="17"/>
    </row>
    <row r="592" spans="4:4" ht="14.25" customHeight="1" x14ac:dyDescent="0.3">
      <c r="D592" s="17"/>
    </row>
    <row r="593" spans="4:4" ht="14.25" customHeight="1" x14ac:dyDescent="0.3">
      <c r="D593" s="17"/>
    </row>
    <row r="594" spans="4:4" ht="14.25" customHeight="1" x14ac:dyDescent="0.3">
      <c r="D594" s="17"/>
    </row>
    <row r="595" spans="4:4" ht="14.25" customHeight="1" x14ac:dyDescent="0.3">
      <c r="D595" s="17"/>
    </row>
    <row r="596" spans="4:4" ht="14.25" customHeight="1" x14ac:dyDescent="0.3">
      <c r="D596" s="17"/>
    </row>
    <row r="597" spans="4:4" ht="14.25" customHeight="1" x14ac:dyDescent="0.3">
      <c r="D597" s="17"/>
    </row>
    <row r="598" spans="4:4" ht="14.25" customHeight="1" x14ac:dyDescent="0.3">
      <c r="D598" s="17"/>
    </row>
    <row r="599" spans="4:4" ht="14.25" customHeight="1" x14ac:dyDescent="0.3">
      <c r="D599" s="17"/>
    </row>
    <row r="600" spans="4:4" ht="14.25" customHeight="1" x14ac:dyDescent="0.3">
      <c r="D600" s="17"/>
    </row>
    <row r="601" spans="4:4" ht="14.25" customHeight="1" x14ac:dyDescent="0.3">
      <c r="D601" s="17"/>
    </row>
    <row r="602" spans="4:4" ht="14.25" customHeight="1" x14ac:dyDescent="0.3">
      <c r="D602" s="17"/>
    </row>
    <row r="603" spans="4:4" ht="14.25" customHeight="1" x14ac:dyDescent="0.3">
      <c r="D603" s="17"/>
    </row>
    <row r="604" spans="4:4" ht="14.25" customHeight="1" x14ac:dyDescent="0.3">
      <c r="D604" s="17"/>
    </row>
    <row r="605" spans="4:4" ht="14.25" customHeight="1" x14ac:dyDescent="0.3">
      <c r="D605" s="17"/>
    </row>
    <row r="606" spans="4:4" ht="14.25" customHeight="1" x14ac:dyDescent="0.3">
      <c r="D606" s="17"/>
    </row>
    <row r="607" spans="4:4" ht="14.25" customHeight="1" x14ac:dyDescent="0.3">
      <c r="D607" s="17"/>
    </row>
    <row r="608" spans="4:4" ht="14.25" customHeight="1" x14ac:dyDescent="0.3">
      <c r="D608" s="17"/>
    </row>
    <row r="609" spans="4:4" ht="14.25" customHeight="1" x14ac:dyDescent="0.3">
      <c r="D609" s="17"/>
    </row>
    <row r="610" spans="4:4" ht="14.25" customHeight="1" x14ac:dyDescent="0.3">
      <c r="D610" s="17"/>
    </row>
    <row r="611" spans="4:4" ht="14.25" customHeight="1" x14ac:dyDescent="0.3">
      <c r="D611" s="17"/>
    </row>
    <row r="612" spans="4:4" ht="14.25" customHeight="1" x14ac:dyDescent="0.3">
      <c r="D612" s="17"/>
    </row>
    <row r="613" spans="4:4" ht="14.25" customHeight="1" x14ac:dyDescent="0.3">
      <c r="D613" s="17"/>
    </row>
    <row r="614" spans="4:4" ht="14.25" customHeight="1" x14ac:dyDescent="0.3">
      <c r="D614" s="17"/>
    </row>
    <row r="615" spans="4:4" ht="14.25" customHeight="1" x14ac:dyDescent="0.3">
      <c r="D615" s="17"/>
    </row>
    <row r="616" spans="4:4" ht="14.25" customHeight="1" x14ac:dyDescent="0.3">
      <c r="D616" s="17"/>
    </row>
    <row r="617" spans="4:4" ht="14.25" customHeight="1" x14ac:dyDescent="0.3">
      <c r="D617" s="17"/>
    </row>
    <row r="618" spans="4:4" ht="14.25" customHeight="1" x14ac:dyDescent="0.3">
      <c r="D618" s="17"/>
    </row>
    <row r="619" spans="4:4" ht="14.25" customHeight="1" x14ac:dyDescent="0.3">
      <c r="D619" s="17"/>
    </row>
    <row r="620" spans="4:4" ht="14.25" customHeight="1" x14ac:dyDescent="0.3">
      <c r="D620" s="17"/>
    </row>
    <row r="621" spans="4:4" ht="14.25" customHeight="1" x14ac:dyDescent="0.3">
      <c r="D621" s="17"/>
    </row>
    <row r="622" spans="4:4" ht="14.25" customHeight="1" x14ac:dyDescent="0.3">
      <c r="D622" s="17"/>
    </row>
    <row r="623" spans="4:4" ht="14.25" customHeight="1" x14ac:dyDescent="0.3">
      <c r="D623" s="17"/>
    </row>
    <row r="624" spans="4:4" ht="14.25" customHeight="1" x14ac:dyDescent="0.3">
      <c r="D624" s="17"/>
    </row>
    <row r="625" spans="4:4" ht="14.25" customHeight="1" x14ac:dyDescent="0.3">
      <c r="D625" s="17"/>
    </row>
    <row r="626" spans="4:4" ht="14.25" customHeight="1" x14ac:dyDescent="0.3">
      <c r="D626" s="17"/>
    </row>
    <row r="627" spans="4:4" ht="14.25" customHeight="1" x14ac:dyDescent="0.3">
      <c r="D627" s="17"/>
    </row>
    <row r="628" spans="4:4" ht="14.25" customHeight="1" x14ac:dyDescent="0.3">
      <c r="D628" s="17"/>
    </row>
    <row r="629" spans="4:4" ht="14.25" customHeight="1" x14ac:dyDescent="0.3">
      <c r="D629" s="17"/>
    </row>
    <row r="630" spans="4:4" ht="14.25" customHeight="1" x14ac:dyDescent="0.3">
      <c r="D630" s="17"/>
    </row>
    <row r="631" spans="4:4" ht="14.25" customHeight="1" x14ac:dyDescent="0.3">
      <c r="D631" s="17"/>
    </row>
    <row r="632" spans="4:4" ht="14.25" customHeight="1" x14ac:dyDescent="0.3">
      <c r="D632" s="17"/>
    </row>
    <row r="633" spans="4:4" ht="14.25" customHeight="1" x14ac:dyDescent="0.3">
      <c r="D633" s="17"/>
    </row>
    <row r="634" spans="4:4" ht="14.25" customHeight="1" x14ac:dyDescent="0.3">
      <c r="D634" s="17"/>
    </row>
    <row r="635" spans="4:4" ht="14.25" customHeight="1" x14ac:dyDescent="0.3">
      <c r="D635" s="17"/>
    </row>
    <row r="636" spans="4:4" ht="14.25" customHeight="1" x14ac:dyDescent="0.3">
      <c r="D636" s="17"/>
    </row>
    <row r="637" spans="4:4" ht="14.25" customHeight="1" x14ac:dyDescent="0.3">
      <c r="D637" s="17"/>
    </row>
    <row r="638" spans="4:4" ht="14.25" customHeight="1" x14ac:dyDescent="0.3">
      <c r="D638" s="17"/>
    </row>
    <row r="639" spans="4:4" ht="14.25" customHeight="1" x14ac:dyDescent="0.3">
      <c r="D639" s="17"/>
    </row>
    <row r="640" spans="4:4" ht="14.25" customHeight="1" x14ac:dyDescent="0.3">
      <c r="D640" s="17"/>
    </row>
    <row r="641" spans="4:4" ht="14.25" customHeight="1" x14ac:dyDescent="0.3">
      <c r="D641" s="17"/>
    </row>
    <row r="642" spans="4:4" ht="14.25" customHeight="1" x14ac:dyDescent="0.3">
      <c r="D642" s="17"/>
    </row>
    <row r="643" spans="4:4" ht="14.25" customHeight="1" x14ac:dyDescent="0.3">
      <c r="D643" s="17"/>
    </row>
    <row r="644" spans="4:4" ht="14.25" customHeight="1" x14ac:dyDescent="0.3">
      <c r="D644" s="17"/>
    </row>
    <row r="645" spans="4:4" ht="14.25" customHeight="1" x14ac:dyDescent="0.3">
      <c r="D645" s="17"/>
    </row>
    <row r="646" spans="4:4" ht="14.25" customHeight="1" x14ac:dyDescent="0.3">
      <c r="D646" s="17"/>
    </row>
    <row r="647" spans="4:4" ht="14.25" customHeight="1" x14ac:dyDescent="0.3">
      <c r="D647" s="17"/>
    </row>
    <row r="648" spans="4:4" ht="14.25" customHeight="1" x14ac:dyDescent="0.3">
      <c r="D648" s="17"/>
    </row>
    <row r="649" spans="4:4" ht="14.25" customHeight="1" x14ac:dyDescent="0.3">
      <c r="D649" s="17"/>
    </row>
    <row r="650" spans="4:4" ht="14.25" customHeight="1" x14ac:dyDescent="0.3">
      <c r="D650" s="17"/>
    </row>
    <row r="651" spans="4:4" ht="14.25" customHeight="1" x14ac:dyDescent="0.3">
      <c r="D651" s="17"/>
    </row>
    <row r="652" spans="4:4" ht="14.25" customHeight="1" x14ac:dyDescent="0.3">
      <c r="D652" s="17"/>
    </row>
    <row r="653" spans="4:4" ht="14.25" customHeight="1" x14ac:dyDescent="0.3">
      <c r="D653" s="17"/>
    </row>
    <row r="654" spans="4:4" ht="14.25" customHeight="1" x14ac:dyDescent="0.3">
      <c r="D654" s="17"/>
    </row>
    <row r="655" spans="4:4" ht="14.25" customHeight="1" x14ac:dyDescent="0.3">
      <c r="D655" s="17"/>
    </row>
    <row r="656" spans="4:4" ht="14.25" customHeight="1" x14ac:dyDescent="0.3">
      <c r="D656" s="17"/>
    </row>
    <row r="657" spans="4:4" ht="14.25" customHeight="1" x14ac:dyDescent="0.3">
      <c r="D657" s="17"/>
    </row>
    <row r="658" spans="4:4" ht="14.25" customHeight="1" x14ac:dyDescent="0.3">
      <c r="D658" s="17"/>
    </row>
    <row r="659" spans="4:4" ht="14.25" customHeight="1" x14ac:dyDescent="0.3">
      <c r="D659" s="17"/>
    </row>
    <row r="660" spans="4:4" ht="14.25" customHeight="1" x14ac:dyDescent="0.3">
      <c r="D660" s="17"/>
    </row>
    <row r="661" spans="4:4" ht="14.25" customHeight="1" x14ac:dyDescent="0.3">
      <c r="D661" s="17"/>
    </row>
    <row r="662" spans="4:4" ht="14.25" customHeight="1" x14ac:dyDescent="0.3">
      <c r="D662" s="17"/>
    </row>
    <row r="663" spans="4:4" ht="14.25" customHeight="1" x14ac:dyDescent="0.3">
      <c r="D663" s="17"/>
    </row>
    <row r="664" spans="4:4" ht="14.25" customHeight="1" x14ac:dyDescent="0.3">
      <c r="D664" s="17"/>
    </row>
    <row r="665" spans="4:4" ht="14.25" customHeight="1" x14ac:dyDescent="0.3">
      <c r="D665" s="17"/>
    </row>
    <row r="666" spans="4:4" ht="14.25" customHeight="1" x14ac:dyDescent="0.3">
      <c r="D666" s="17"/>
    </row>
    <row r="667" spans="4:4" ht="14.25" customHeight="1" x14ac:dyDescent="0.3">
      <c r="D667" s="17"/>
    </row>
    <row r="668" spans="4:4" ht="14.25" customHeight="1" x14ac:dyDescent="0.3">
      <c r="D668" s="17"/>
    </row>
    <row r="669" spans="4:4" ht="14.25" customHeight="1" x14ac:dyDescent="0.3">
      <c r="D669" s="17"/>
    </row>
    <row r="670" spans="4:4" ht="14.25" customHeight="1" x14ac:dyDescent="0.3">
      <c r="D670" s="17"/>
    </row>
    <row r="671" spans="4:4" ht="14.25" customHeight="1" x14ac:dyDescent="0.3">
      <c r="D671" s="17"/>
    </row>
    <row r="672" spans="4:4" ht="14.25" customHeight="1" x14ac:dyDescent="0.3">
      <c r="D672" s="17"/>
    </row>
    <row r="673" spans="4:4" ht="14.25" customHeight="1" x14ac:dyDescent="0.3">
      <c r="D673" s="17"/>
    </row>
    <row r="674" spans="4:4" ht="14.25" customHeight="1" x14ac:dyDescent="0.3">
      <c r="D674" s="17"/>
    </row>
    <row r="675" spans="4:4" ht="14.25" customHeight="1" x14ac:dyDescent="0.3">
      <c r="D675" s="17"/>
    </row>
    <row r="676" spans="4:4" ht="14.25" customHeight="1" x14ac:dyDescent="0.3">
      <c r="D676" s="17"/>
    </row>
    <row r="677" spans="4:4" ht="14.25" customHeight="1" x14ac:dyDescent="0.3">
      <c r="D677" s="17"/>
    </row>
    <row r="678" spans="4:4" ht="14.25" customHeight="1" x14ac:dyDescent="0.3">
      <c r="D678" s="17"/>
    </row>
    <row r="679" spans="4:4" ht="14.25" customHeight="1" x14ac:dyDescent="0.3">
      <c r="D679" s="17"/>
    </row>
    <row r="680" spans="4:4" ht="14.25" customHeight="1" x14ac:dyDescent="0.3">
      <c r="D680" s="17"/>
    </row>
    <row r="681" spans="4:4" ht="14.25" customHeight="1" x14ac:dyDescent="0.3">
      <c r="D681" s="17"/>
    </row>
    <row r="682" spans="4:4" ht="14.25" customHeight="1" x14ac:dyDescent="0.3">
      <c r="D682" s="17"/>
    </row>
    <row r="683" spans="4:4" ht="14.25" customHeight="1" x14ac:dyDescent="0.3">
      <c r="D683" s="17"/>
    </row>
    <row r="684" spans="4:4" ht="14.25" customHeight="1" x14ac:dyDescent="0.3">
      <c r="D684" s="17"/>
    </row>
    <row r="685" spans="4:4" ht="14.25" customHeight="1" x14ac:dyDescent="0.3">
      <c r="D685" s="17"/>
    </row>
    <row r="686" spans="4:4" ht="14.25" customHeight="1" x14ac:dyDescent="0.3">
      <c r="D686" s="17"/>
    </row>
    <row r="687" spans="4:4" ht="14.25" customHeight="1" x14ac:dyDescent="0.3">
      <c r="D687" s="17"/>
    </row>
    <row r="688" spans="4:4" ht="14.25" customHeight="1" x14ac:dyDescent="0.3">
      <c r="D688" s="17"/>
    </row>
    <row r="689" spans="4:4" ht="14.25" customHeight="1" x14ac:dyDescent="0.3">
      <c r="D689" s="17"/>
    </row>
    <row r="690" spans="4:4" ht="14.25" customHeight="1" x14ac:dyDescent="0.3">
      <c r="D690" s="17"/>
    </row>
    <row r="691" spans="4:4" ht="14.25" customHeight="1" x14ac:dyDescent="0.3">
      <c r="D691" s="17"/>
    </row>
    <row r="692" spans="4:4" ht="14.25" customHeight="1" x14ac:dyDescent="0.3">
      <c r="D692" s="17"/>
    </row>
    <row r="693" spans="4:4" ht="14.25" customHeight="1" x14ac:dyDescent="0.3">
      <c r="D693" s="17"/>
    </row>
    <row r="694" spans="4:4" ht="14.25" customHeight="1" x14ac:dyDescent="0.3">
      <c r="D694" s="17"/>
    </row>
    <row r="695" spans="4:4" ht="14.25" customHeight="1" x14ac:dyDescent="0.3">
      <c r="D695" s="17"/>
    </row>
    <row r="696" spans="4:4" ht="14.25" customHeight="1" x14ac:dyDescent="0.3">
      <c r="D696" s="17"/>
    </row>
    <row r="697" spans="4:4" ht="14.25" customHeight="1" x14ac:dyDescent="0.3">
      <c r="D697" s="17"/>
    </row>
    <row r="698" spans="4:4" ht="14.25" customHeight="1" x14ac:dyDescent="0.3">
      <c r="D698" s="17"/>
    </row>
    <row r="699" spans="4:4" ht="14.25" customHeight="1" x14ac:dyDescent="0.3">
      <c r="D699" s="17"/>
    </row>
    <row r="700" spans="4:4" ht="14.25" customHeight="1" x14ac:dyDescent="0.3">
      <c r="D700" s="17"/>
    </row>
    <row r="701" spans="4:4" ht="14.25" customHeight="1" x14ac:dyDescent="0.3">
      <c r="D701" s="17"/>
    </row>
    <row r="702" spans="4:4" ht="14.25" customHeight="1" x14ac:dyDescent="0.3">
      <c r="D702" s="17"/>
    </row>
    <row r="703" spans="4:4" ht="14.25" customHeight="1" x14ac:dyDescent="0.3">
      <c r="D703" s="17"/>
    </row>
    <row r="704" spans="4:4" ht="14.25" customHeight="1" x14ac:dyDescent="0.3">
      <c r="D704" s="17"/>
    </row>
    <row r="705" spans="4:4" ht="14.25" customHeight="1" x14ac:dyDescent="0.3">
      <c r="D705" s="17"/>
    </row>
    <row r="706" spans="4:4" ht="14.25" customHeight="1" x14ac:dyDescent="0.3">
      <c r="D706" s="17"/>
    </row>
    <row r="707" spans="4:4" ht="14.25" customHeight="1" x14ac:dyDescent="0.3">
      <c r="D707" s="17"/>
    </row>
    <row r="708" spans="4:4" ht="14.25" customHeight="1" x14ac:dyDescent="0.3">
      <c r="D708" s="17"/>
    </row>
    <row r="709" spans="4:4" ht="14.25" customHeight="1" x14ac:dyDescent="0.3">
      <c r="D709" s="17"/>
    </row>
    <row r="710" spans="4:4" ht="14.25" customHeight="1" x14ac:dyDescent="0.3">
      <c r="D710" s="17"/>
    </row>
    <row r="711" spans="4:4" ht="14.25" customHeight="1" x14ac:dyDescent="0.3">
      <c r="D711" s="17"/>
    </row>
    <row r="712" spans="4:4" ht="14.25" customHeight="1" x14ac:dyDescent="0.3">
      <c r="D712" s="17"/>
    </row>
    <row r="713" spans="4:4" ht="14.25" customHeight="1" x14ac:dyDescent="0.3">
      <c r="D713" s="17"/>
    </row>
    <row r="714" spans="4:4" ht="14.25" customHeight="1" x14ac:dyDescent="0.3">
      <c r="D714" s="17"/>
    </row>
    <row r="715" spans="4:4" ht="14.25" customHeight="1" x14ac:dyDescent="0.3">
      <c r="D715" s="17"/>
    </row>
    <row r="716" spans="4:4" ht="14.25" customHeight="1" x14ac:dyDescent="0.3">
      <c r="D716" s="17"/>
    </row>
    <row r="717" spans="4:4" ht="14.25" customHeight="1" x14ac:dyDescent="0.3">
      <c r="D717" s="17"/>
    </row>
    <row r="718" spans="4:4" ht="14.25" customHeight="1" x14ac:dyDescent="0.3">
      <c r="D718" s="17"/>
    </row>
    <row r="719" spans="4:4" ht="14.25" customHeight="1" x14ac:dyDescent="0.3">
      <c r="D719" s="17"/>
    </row>
    <row r="720" spans="4:4" ht="14.25" customHeight="1" x14ac:dyDescent="0.3">
      <c r="D720" s="17"/>
    </row>
    <row r="721" spans="4:4" ht="14.25" customHeight="1" x14ac:dyDescent="0.3">
      <c r="D721" s="17"/>
    </row>
    <row r="722" spans="4:4" ht="14.25" customHeight="1" x14ac:dyDescent="0.3">
      <c r="D722" s="17"/>
    </row>
    <row r="723" spans="4:4" ht="14.25" customHeight="1" x14ac:dyDescent="0.3">
      <c r="D723" s="17"/>
    </row>
    <row r="724" spans="4:4" ht="14.25" customHeight="1" x14ac:dyDescent="0.3">
      <c r="D724" s="17"/>
    </row>
    <row r="725" spans="4:4" ht="14.25" customHeight="1" x14ac:dyDescent="0.3">
      <c r="D725" s="17"/>
    </row>
    <row r="726" spans="4:4" ht="14.25" customHeight="1" x14ac:dyDescent="0.3">
      <c r="D726" s="17"/>
    </row>
    <row r="727" spans="4:4" ht="14.25" customHeight="1" x14ac:dyDescent="0.3">
      <c r="D727" s="17"/>
    </row>
    <row r="728" spans="4:4" ht="14.25" customHeight="1" x14ac:dyDescent="0.3">
      <c r="D728" s="17"/>
    </row>
    <row r="729" spans="4:4" ht="14.25" customHeight="1" x14ac:dyDescent="0.3">
      <c r="D729" s="17"/>
    </row>
    <row r="730" spans="4:4" ht="14.25" customHeight="1" x14ac:dyDescent="0.3">
      <c r="D730" s="17"/>
    </row>
    <row r="731" spans="4:4" ht="14.25" customHeight="1" x14ac:dyDescent="0.3">
      <c r="D731" s="17"/>
    </row>
    <row r="732" spans="4:4" ht="14.25" customHeight="1" x14ac:dyDescent="0.3">
      <c r="D732" s="17"/>
    </row>
    <row r="733" spans="4:4" ht="14.25" customHeight="1" x14ac:dyDescent="0.3">
      <c r="D733" s="17"/>
    </row>
    <row r="734" spans="4:4" ht="14.25" customHeight="1" x14ac:dyDescent="0.3">
      <c r="D734" s="17"/>
    </row>
    <row r="735" spans="4:4" ht="14.25" customHeight="1" x14ac:dyDescent="0.3">
      <c r="D735" s="17"/>
    </row>
    <row r="736" spans="4:4" ht="14.25" customHeight="1" x14ac:dyDescent="0.3">
      <c r="D736" s="17"/>
    </row>
    <row r="737" spans="4:4" ht="14.25" customHeight="1" x14ac:dyDescent="0.3">
      <c r="D737" s="17"/>
    </row>
    <row r="738" spans="4:4" ht="14.25" customHeight="1" x14ac:dyDescent="0.3">
      <c r="D738" s="17"/>
    </row>
    <row r="739" spans="4:4" ht="14.25" customHeight="1" x14ac:dyDescent="0.3">
      <c r="D739" s="17"/>
    </row>
    <row r="740" spans="4:4" ht="14.25" customHeight="1" x14ac:dyDescent="0.3">
      <c r="D740" s="17"/>
    </row>
    <row r="741" spans="4:4" ht="14.25" customHeight="1" x14ac:dyDescent="0.3">
      <c r="D741" s="17"/>
    </row>
    <row r="742" spans="4:4" ht="14.25" customHeight="1" x14ac:dyDescent="0.3">
      <c r="D742" s="17"/>
    </row>
    <row r="743" spans="4:4" ht="14.25" customHeight="1" x14ac:dyDescent="0.3">
      <c r="D743" s="17"/>
    </row>
    <row r="744" spans="4:4" ht="14.25" customHeight="1" x14ac:dyDescent="0.3">
      <c r="D744" s="17"/>
    </row>
    <row r="745" spans="4:4" ht="14.25" customHeight="1" x14ac:dyDescent="0.3">
      <c r="D745" s="17"/>
    </row>
    <row r="746" spans="4:4" ht="14.25" customHeight="1" x14ac:dyDescent="0.3">
      <c r="D746" s="17"/>
    </row>
    <row r="747" spans="4:4" ht="14.25" customHeight="1" x14ac:dyDescent="0.3">
      <c r="D747" s="17"/>
    </row>
    <row r="748" spans="4:4" ht="14.25" customHeight="1" x14ac:dyDescent="0.3">
      <c r="D748" s="17"/>
    </row>
    <row r="749" spans="4:4" ht="14.25" customHeight="1" x14ac:dyDescent="0.3">
      <c r="D749" s="17"/>
    </row>
    <row r="750" spans="4:4" ht="14.25" customHeight="1" x14ac:dyDescent="0.3">
      <c r="D750" s="17"/>
    </row>
    <row r="751" spans="4:4" ht="14.25" customHeight="1" x14ac:dyDescent="0.3">
      <c r="D751" s="17"/>
    </row>
    <row r="752" spans="4:4" ht="14.25" customHeight="1" x14ac:dyDescent="0.3">
      <c r="D752" s="17"/>
    </row>
    <row r="753" spans="4:4" ht="14.25" customHeight="1" x14ac:dyDescent="0.3">
      <c r="D753" s="17"/>
    </row>
    <row r="754" spans="4:4" ht="14.25" customHeight="1" x14ac:dyDescent="0.3">
      <c r="D754" s="17"/>
    </row>
    <row r="755" spans="4:4" ht="14.25" customHeight="1" x14ac:dyDescent="0.3">
      <c r="D755" s="17"/>
    </row>
    <row r="756" spans="4:4" ht="14.25" customHeight="1" x14ac:dyDescent="0.3">
      <c r="D756" s="17"/>
    </row>
    <row r="757" spans="4:4" ht="14.25" customHeight="1" x14ac:dyDescent="0.3">
      <c r="D757" s="17"/>
    </row>
    <row r="758" spans="4:4" ht="14.25" customHeight="1" x14ac:dyDescent="0.3">
      <c r="D758" s="17"/>
    </row>
    <row r="759" spans="4:4" ht="14.25" customHeight="1" x14ac:dyDescent="0.3">
      <c r="D759" s="17"/>
    </row>
    <row r="760" spans="4:4" ht="14.25" customHeight="1" x14ac:dyDescent="0.3">
      <c r="D760" s="17"/>
    </row>
    <row r="761" spans="4:4" ht="14.25" customHeight="1" x14ac:dyDescent="0.3">
      <c r="D761" s="17"/>
    </row>
    <row r="762" spans="4:4" ht="14.25" customHeight="1" x14ac:dyDescent="0.3">
      <c r="D762" s="17"/>
    </row>
    <row r="763" spans="4:4" ht="14.25" customHeight="1" x14ac:dyDescent="0.3">
      <c r="D763" s="17"/>
    </row>
    <row r="764" spans="4:4" ht="14.25" customHeight="1" x14ac:dyDescent="0.3">
      <c r="D764" s="17"/>
    </row>
    <row r="765" spans="4:4" ht="14.25" customHeight="1" x14ac:dyDescent="0.3">
      <c r="D765" s="17"/>
    </row>
    <row r="766" spans="4:4" ht="14.25" customHeight="1" x14ac:dyDescent="0.3">
      <c r="D766" s="17"/>
    </row>
    <row r="767" spans="4:4" ht="14.25" customHeight="1" x14ac:dyDescent="0.3">
      <c r="D767" s="17"/>
    </row>
    <row r="768" spans="4:4" ht="14.25" customHeight="1" x14ac:dyDescent="0.3">
      <c r="D768" s="17"/>
    </row>
    <row r="769" spans="4:4" ht="14.25" customHeight="1" x14ac:dyDescent="0.3">
      <c r="D769" s="17"/>
    </row>
    <row r="770" spans="4:4" ht="14.25" customHeight="1" x14ac:dyDescent="0.3">
      <c r="D770" s="17"/>
    </row>
    <row r="771" spans="4:4" ht="14.25" customHeight="1" x14ac:dyDescent="0.3">
      <c r="D771" s="17"/>
    </row>
    <row r="772" spans="4:4" ht="14.25" customHeight="1" x14ac:dyDescent="0.3">
      <c r="D772" s="17"/>
    </row>
    <row r="773" spans="4:4" ht="14.25" customHeight="1" x14ac:dyDescent="0.3">
      <c r="D773" s="17"/>
    </row>
    <row r="774" spans="4:4" ht="14.25" customHeight="1" x14ac:dyDescent="0.3">
      <c r="D774" s="17"/>
    </row>
    <row r="775" spans="4:4" ht="14.25" customHeight="1" x14ac:dyDescent="0.3">
      <c r="D775" s="17"/>
    </row>
    <row r="776" spans="4:4" ht="14.25" customHeight="1" x14ac:dyDescent="0.3">
      <c r="D776" s="17"/>
    </row>
    <row r="777" spans="4:4" ht="14.25" customHeight="1" x14ac:dyDescent="0.3">
      <c r="D777" s="17"/>
    </row>
    <row r="778" spans="4:4" ht="14.25" customHeight="1" x14ac:dyDescent="0.3">
      <c r="D778" s="17"/>
    </row>
    <row r="779" spans="4:4" ht="14.25" customHeight="1" x14ac:dyDescent="0.3">
      <c r="D779" s="17"/>
    </row>
    <row r="780" spans="4:4" ht="14.25" customHeight="1" x14ac:dyDescent="0.3">
      <c r="D780" s="17"/>
    </row>
    <row r="781" spans="4:4" ht="14.25" customHeight="1" x14ac:dyDescent="0.3">
      <c r="D781" s="17"/>
    </row>
    <row r="782" spans="4:4" ht="14.25" customHeight="1" x14ac:dyDescent="0.3">
      <c r="D782" s="17"/>
    </row>
    <row r="783" spans="4:4" ht="14.25" customHeight="1" x14ac:dyDescent="0.3">
      <c r="D783" s="17"/>
    </row>
    <row r="784" spans="4:4" ht="14.25" customHeight="1" x14ac:dyDescent="0.3">
      <c r="D784" s="17"/>
    </row>
    <row r="785" spans="4:4" ht="14.25" customHeight="1" x14ac:dyDescent="0.3">
      <c r="D785" s="17"/>
    </row>
    <row r="786" spans="4:4" ht="14.25" customHeight="1" x14ac:dyDescent="0.3">
      <c r="D786" s="17"/>
    </row>
    <row r="787" spans="4:4" ht="14.25" customHeight="1" x14ac:dyDescent="0.3">
      <c r="D787" s="17"/>
    </row>
    <row r="788" spans="4:4" ht="14.25" customHeight="1" x14ac:dyDescent="0.3">
      <c r="D788" s="17"/>
    </row>
    <row r="789" spans="4:4" ht="14.25" customHeight="1" x14ac:dyDescent="0.3">
      <c r="D789" s="17"/>
    </row>
    <row r="790" spans="4:4" ht="14.25" customHeight="1" x14ac:dyDescent="0.3">
      <c r="D790" s="17"/>
    </row>
    <row r="791" spans="4:4" ht="14.25" customHeight="1" x14ac:dyDescent="0.3">
      <c r="D791" s="17"/>
    </row>
    <row r="792" spans="4:4" ht="14.25" customHeight="1" x14ac:dyDescent="0.3">
      <c r="D792" s="17"/>
    </row>
    <row r="793" spans="4:4" ht="14.25" customHeight="1" x14ac:dyDescent="0.3">
      <c r="D793" s="17"/>
    </row>
    <row r="794" spans="4:4" ht="14.25" customHeight="1" x14ac:dyDescent="0.3">
      <c r="D794" s="17"/>
    </row>
    <row r="795" spans="4:4" ht="14.25" customHeight="1" x14ac:dyDescent="0.3">
      <c r="D795" s="17"/>
    </row>
    <row r="796" spans="4:4" ht="14.25" customHeight="1" x14ac:dyDescent="0.3">
      <c r="D796" s="17"/>
    </row>
    <row r="797" spans="4:4" ht="14.25" customHeight="1" x14ac:dyDescent="0.3">
      <c r="D797" s="17"/>
    </row>
    <row r="798" spans="4:4" ht="14.25" customHeight="1" x14ac:dyDescent="0.3">
      <c r="D798" s="17"/>
    </row>
    <row r="799" spans="4:4" ht="14.25" customHeight="1" x14ac:dyDescent="0.3">
      <c r="D799" s="17"/>
    </row>
    <row r="800" spans="4:4" ht="14.25" customHeight="1" x14ac:dyDescent="0.3">
      <c r="D800" s="17"/>
    </row>
    <row r="801" spans="4:4" ht="14.25" customHeight="1" x14ac:dyDescent="0.3">
      <c r="D801" s="17"/>
    </row>
    <row r="802" spans="4:4" ht="14.25" customHeight="1" x14ac:dyDescent="0.3">
      <c r="D802" s="17"/>
    </row>
    <row r="803" spans="4:4" ht="14.25" customHeight="1" x14ac:dyDescent="0.3">
      <c r="D803" s="17"/>
    </row>
    <row r="804" spans="4:4" ht="14.25" customHeight="1" x14ac:dyDescent="0.3">
      <c r="D804" s="17"/>
    </row>
    <row r="805" spans="4:4" ht="14.25" customHeight="1" x14ac:dyDescent="0.3">
      <c r="D805" s="17"/>
    </row>
    <row r="806" spans="4:4" ht="14.25" customHeight="1" x14ac:dyDescent="0.3">
      <c r="D806" s="17"/>
    </row>
    <row r="807" spans="4:4" ht="14.25" customHeight="1" x14ac:dyDescent="0.3">
      <c r="D807" s="17"/>
    </row>
    <row r="808" spans="4:4" ht="14.25" customHeight="1" x14ac:dyDescent="0.3">
      <c r="D808" s="17"/>
    </row>
    <row r="809" spans="4:4" ht="14.25" customHeight="1" x14ac:dyDescent="0.3">
      <c r="D809" s="17"/>
    </row>
    <row r="810" spans="4:4" ht="14.25" customHeight="1" x14ac:dyDescent="0.3">
      <c r="D810" s="17"/>
    </row>
    <row r="811" spans="4:4" ht="14.25" customHeight="1" x14ac:dyDescent="0.3">
      <c r="D811" s="17"/>
    </row>
    <row r="812" spans="4:4" ht="14.25" customHeight="1" x14ac:dyDescent="0.3">
      <c r="D812" s="17"/>
    </row>
    <row r="813" spans="4:4" ht="14.25" customHeight="1" x14ac:dyDescent="0.3">
      <c r="D813" s="17"/>
    </row>
    <row r="814" spans="4:4" ht="14.25" customHeight="1" x14ac:dyDescent="0.3">
      <c r="D814" s="17"/>
    </row>
    <row r="815" spans="4:4" ht="14.25" customHeight="1" x14ac:dyDescent="0.3">
      <c r="D815" s="17"/>
    </row>
    <row r="816" spans="4:4" ht="14.25" customHeight="1" x14ac:dyDescent="0.3">
      <c r="D816" s="17"/>
    </row>
    <row r="817" spans="4:4" ht="14.25" customHeight="1" x14ac:dyDescent="0.3">
      <c r="D817" s="17"/>
    </row>
    <row r="818" spans="4:4" ht="14.25" customHeight="1" x14ac:dyDescent="0.3">
      <c r="D818" s="17"/>
    </row>
    <row r="819" spans="4:4" ht="14.25" customHeight="1" x14ac:dyDescent="0.3">
      <c r="D819" s="17"/>
    </row>
    <row r="820" spans="4:4" ht="14.25" customHeight="1" x14ac:dyDescent="0.3">
      <c r="D820" s="17"/>
    </row>
    <row r="821" spans="4:4" ht="14.25" customHeight="1" x14ac:dyDescent="0.3">
      <c r="D821" s="17"/>
    </row>
    <row r="822" spans="4:4" ht="14.25" customHeight="1" x14ac:dyDescent="0.3">
      <c r="D822" s="17"/>
    </row>
    <row r="823" spans="4:4" ht="14.25" customHeight="1" x14ac:dyDescent="0.3">
      <c r="D823" s="17"/>
    </row>
    <row r="824" spans="4:4" ht="14.25" customHeight="1" x14ac:dyDescent="0.3">
      <c r="D824" s="17"/>
    </row>
    <row r="825" spans="4:4" ht="14.25" customHeight="1" x14ac:dyDescent="0.3">
      <c r="D825" s="17"/>
    </row>
    <row r="826" spans="4:4" ht="14.25" customHeight="1" x14ac:dyDescent="0.3">
      <c r="D826" s="17"/>
    </row>
    <row r="827" spans="4:4" ht="14.25" customHeight="1" x14ac:dyDescent="0.3">
      <c r="D827" s="17"/>
    </row>
    <row r="828" spans="4:4" ht="14.25" customHeight="1" x14ac:dyDescent="0.3">
      <c r="D828" s="17"/>
    </row>
    <row r="829" spans="4:4" ht="14.25" customHeight="1" x14ac:dyDescent="0.3">
      <c r="D829" s="17"/>
    </row>
    <row r="830" spans="4:4" ht="14.25" customHeight="1" x14ac:dyDescent="0.3">
      <c r="D830" s="17"/>
    </row>
    <row r="831" spans="4:4" ht="14.25" customHeight="1" x14ac:dyDescent="0.3">
      <c r="D831" s="17"/>
    </row>
    <row r="832" spans="4:4" ht="14.25" customHeight="1" x14ac:dyDescent="0.3">
      <c r="D832" s="17"/>
    </row>
    <row r="833" spans="4:4" ht="14.25" customHeight="1" x14ac:dyDescent="0.3">
      <c r="D833" s="17"/>
    </row>
    <row r="834" spans="4:4" ht="14.25" customHeight="1" x14ac:dyDescent="0.3">
      <c r="D834" s="17"/>
    </row>
    <row r="835" spans="4:4" ht="14.25" customHeight="1" x14ac:dyDescent="0.3">
      <c r="D835" s="17"/>
    </row>
    <row r="836" spans="4:4" ht="14.25" customHeight="1" x14ac:dyDescent="0.3">
      <c r="D836" s="17"/>
    </row>
    <row r="837" spans="4:4" ht="14.25" customHeight="1" x14ac:dyDescent="0.3">
      <c r="D837" s="17"/>
    </row>
    <row r="838" spans="4:4" ht="14.25" customHeight="1" x14ac:dyDescent="0.3">
      <c r="D838" s="17"/>
    </row>
    <row r="839" spans="4:4" ht="14.25" customHeight="1" x14ac:dyDescent="0.3">
      <c r="D839" s="17"/>
    </row>
    <row r="840" spans="4:4" ht="14.25" customHeight="1" x14ac:dyDescent="0.3">
      <c r="D840" s="17"/>
    </row>
    <row r="841" spans="4:4" ht="14.25" customHeight="1" x14ac:dyDescent="0.3">
      <c r="D841" s="17"/>
    </row>
    <row r="842" spans="4:4" ht="14.25" customHeight="1" x14ac:dyDescent="0.3">
      <c r="D842" s="17"/>
    </row>
    <row r="843" spans="4:4" ht="14.25" customHeight="1" x14ac:dyDescent="0.3">
      <c r="D843" s="17"/>
    </row>
    <row r="844" spans="4:4" ht="14.25" customHeight="1" x14ac:dyDescent="0.3">
      <c r="D844" s="17"/>
    </row>
    <row r="845" spans="4:4" ht="14.25" customHeight="1" x14ac:dyDescent="0.3">
      <c r="D845" s="17"/>
    </row>
    <row r="846" spans="4:4" ht="14.25" customHeight="1" x14ac:dyDescent="0.3">
      <c r="D846" s="17"/>
    </row>
    <row r="847" spans="4:4" ht="14.25" customHeight="1" x14ac:dyDescent="0.3">
      <c r="D847" s="17"/>
    </row>
    <row r="848" spans="4:4" ht="14.25" customHeight="1" x14ac:dyDescent="0.3">
      <c r="D848" s="17"/>
    </row>
    <row r="849" spans="4:4" ht="14.25" customHeight="1" x14ac:dyDescent="0.3">
      <c r="D849" s="17"/>
    </row>
    <row r="850" spans="4:4" ht="14.25" customHeight="1" x14ac:dyDescent="0.3">
      <c r="D850" s="17"/>
    </row>
    <row r="851" spans="4:4" ht="14.25" customHeight="1" x14ac:dyDescent="0.3">
      <c r="D851" s="17"/>
    </row>
    <row r="852" spans="4:4" ht="14.25" customHeight="1" x14ac:dyDescent="0.3">
      <c r="D852" s="17"/>
    </row>
    <row r="853" spans="4:4" ht="14.25" customHeight="1" x14ac:dyDescent="0.3">
      <c r="D853" s="17"/>
    </row>
    <row r="854" spans="4:4" ht="14.25" customHeight="1" x14ac:dyDescent="0.3">
      <c r="D854" s="17"/>
    </row>
    <row r="855" spans="4:4" ht="14.25" customHeight="1" x14ac:dyDescent="0.3">
      <c r="D855" s="17"/>
    </row>
    <row r="856" spans="4:4" ht="14.25" customHeight="1" x14ac:dyDescent="0.3">
      <c r="D856" s="17"/>
    </row>
    <row r="857" spans="4:4" ht="14.25" customHeight="1" x14ac:dyDescent="0.3">
      <c r="D857" s="17"/>
    </row>
    <row r="858" spans="4:4" ht="14.25" customHeight="1" x14ac:dyDescent="0.3">
      <c r="D858" s="17"/>
    </row>
    <row r="859" spans="4:4" ht="14.25" customHeight="1" x14ac:dyDescent="0.3">
      <c r="D859" s="17"/>
    </row>
    <row r="860" spans="4:4" ht="14.25" customHeight="1" x14ac:dyDescent="0.3">
      <c r="D860" s="17"/>
    </row>
    <row r="861" spans="4:4" ht="14.25" customHeight="1" x14ac:dyDescent="0.3">
      <c r="D861" s="17"/>
    </row>
    <row r="862" spans="4:4" ht="14.25" customHeight="1" x14ac:dyDescent="0.3">
      <c r="D862" s="17"/>
    </row>
    <row r="863" spans="4:4" ht="14.25" customHeight="1" x14ac:dyDescent="0.3">
      <c r="D863" s="17"/>
    </row>
    <row r="864" spans="4:4" ht="14.25" customHeight="1" x14ac:dyDescent="0.3">
      <c r="D864" s="17"/>
    </row>
    <row r="865" spans="4:4" ht="14.25" customHeight="1" x14ac:dyDescent="0.3">
      <c r="D865" s="17"/>
    </row>
    <row r="866" spans="4:4" ht="14.25" customHeight="1" x14ac:dyDescent="0.3">
      <c r="D866" s="17"/>
    </row>
    <row r="867" spans="4:4" ht="14.25" customHeight="1" x14ac:dyDescent="0.3">
      <c r="D867" s="17"/>
    </row>
    <row r="868" spans="4:4" ht="14.25" customHeight="1" x14ac:dyDescent="0.3">
      <c r="D868" s="17"/>
    </row>
    <row r="869" spans="4:4" ht="14.25" customHeight="1" x14ac:dyDescent="0.3">
      <c r="D869" s="17"/>
    </row>
    <row r="870" spans="4:4" ht="14.25" customHeight="1" x14ac:dyDescent="0.3">
      <c r="D870" s="17"/>
    </row>
    <row r="871" spans="4:4" ht="14.25" customHeight="1" x14ac:dyDescent="0.3">
      <c r="D871" s="17"/>
    </row>
    <row r="872" spans="4:4" ht="14.25" customHeight="1" x14ac:dyDescent="0.3">
      <c r="D872" s="17"/>
    </row>
    <row r="873" spans="4:4" ht="14.25" customHeight="1" x14ac:dyDescent="0.3">
      <c r="D873" s="17"/>
    </row>
    <row r="874" spans="4:4" ht="14.25" customHeight="1" x14ac:dyDescent="0.3">
      <c r="D874" s="17"/>
    </row>
    <row r="875" spans="4:4" ht="14.25" customHeight="1" x14ac:dyDescent="0.3">
      <c r="D875" s="17"/>
    </row>
    <row r="876" spans="4:4" ht="14.25" customHeight="1" x14ac:dyDescent="0.3">
      <c r="D876" s="17"/>
    </row>
    <row r="877" spans="4:4" ht="14.25" customHeight="1" x14ac:dyDescent="0.3">
      <c r="D877" s="17"/>
    </row>
    <row r="878" spans="4:4" ht="14.25" customHeight="1" x14ac:dyDescent="0.3">
      <c r="D878" s="17"/>
    </row>
    <row r="879" spans="4:4" ht="14.25" customHeight="1" x14ac:dyDescent="0.3">
      <c r="D879" s="17"/>
    </row>
    <row r="880" spans="4:4" ht="14.25" customHeight="1" x14ac:dyDescent="0.3">
      <c r="D880" s="17"/>
    </row>
    <row r="881" spans="4:4" ht="14.25" customHeight="1" x14ac:dyDescent="0.3">
      <c r="D881" s="17"/>
    </row>
    <row r="882" spans="4:4" ht="14.25" customHeight="1" x14ac:dyDescent="0.3">
      <c r="D882" s="17"/>
    </row>
    <row r="883" spans="4:4" ht="14.25" customHeight="1" x14ac:dyDescent="0.3">
      <c r="D883" s="17"/>
    </row>
    <row r="884" spans="4:4" ht="14.25" customHeight="1" x14ac:dyDescent="0.3">
      <c r="D884" s="17"/>
    </row>
    <row r="885" spans="4:4" ht="14.25" customHeight="1" x14ac:dyDescent="0.3">
      <c r="D885" s="17"/>
    </row>
    <row r="886" spans="4:4" ht="14.25" customHeight="1" x14ac:dyDescent="0.3">
      <c r="D886" s="17"/>
    </row>
    <row r="887" spans="4:4" ht="14.25" customHeight="1" x14ac:dyDescent="0.3">
      <c r="D887" s="17"/>
    </row>
    <row r="888" spans="4:4" ht="14.25" customHeight="1" x14ac:dyDescent="0.3">
      <c r="D888" s="17"/>
    </row>
    <row r="889" spans="4:4" ht="14.25" customHeight="1" x14ac:dyDescent="0.3">
      <c r="D889" s="17"/>
    </row>
    <row r="890" spans="4:4" ht="14.25" customHeight="1" x14ac:dyDescent="0.3">
      <c r="D890" s="17"/>
    </row>
    <row r="891" spans="4:4" ht="14.25" customHeight="1" x14ac:dyDescent="0.3">
      <c r="D891" s="17"/>
    </row>
    <row r="892" spans="4:4" ht="14.25" customHeight="1" x14ac:dyDescent="0.3">
      <c r="D892" s="17"/>
    </row>
    <row r="893" spans="4:4" ht="14.25" customHeight="1" x14ac:dyDescent="0.3">
      <c r="D893" s="17"/>
    </row>
    <row r="894" spans="4:4" ht="14.25" customHeight="1" x14ac:dyDescent="0.3">
      <c r="D894" s="17"/>
    </row>
    <row r="895" spans="4:4" ht="14.25" customHeight="1" x14ac:dyDescent="0.3">
      <c r="D895" s="17"/>
    </row>
    <row r="896" spans="4:4" ht="14.25" customHeight="1" x14ac:dyDescent="0.3">
      <c r="D896" s="17"/>
    </row>
    <row r="897" spans="4:4" ht="14.25" customHeight="1" x14ac:dyDescent="0.3">
      <c r="D897" s="17"/>
    </row>
    <row r="898" spans="4:4" ht="14.25" customHeight="1" x14ac:dyDescent="0.3">
      <c r="D898" s="17"/>
    </row>
    <row r="899" spans="4:4" ht="14.25" customHeight="1" x14ac:dyDescent="0.3">
      <c r="D899" s="17"/>
    </row>
    <row r="900" spans="4:4" ht="14.25" customHeight="1" x14ac:dyDescent="0.3">
      <c r="D900" s="17"/>
    </row>
    <row r="901" spans="4:4" ht="14.25" customHeight="1" x14ac:dyDescent="0.3">
      <c r="D901" s="17"/>
    </row>
    <row r="902" spans="4:4" ht="14.25" customHeight="1" x14ac:dyDescent="0.3">
      <c r="D902" s="17"/>
    </row>
    <row r="903" spans="4:4" ht="14.25" customHeight="1" x14ac:dyDescent="0.3">
      <c r="D903" s="17"/>
    </row>
    <row r="904" spans="4:4" ht="14.25" customHeight="1" x14ac:dyDescent="0.3">
      <c r="D904" s="17"/>
    </row>
    <row r="905" spans="4:4" ht="14.25" customHeight="1" x14ac:dyDescent="0.3">
      <c r="D905" s="17"/>
    </row>
    <row r="906" spans="4:4" ht="14.25" customHeight="1" x14ac:dyDescent="0.3">
      <c r="D906" s="17"/>
    </row>
    <row r="907" spans="4:4" ht="14.25" customHeight="1" x14ac:dyDescent="0.3">
      <c r="D907" s="17"/>
    </row>
    <row r="908" spans="4:4" ht="14.25" customHeight="1" x14ac:dyDescent="0.3">
      <c r="D908" s="17"/>
    </row>
    <row r="909" spans="4:4" ht="14.25" customHeight="1" x14ac:dyDescent="0.3">
      <c r="D909" s="17"/>
    </row>
    <row r="910" spans="4:4" ht="14.25" customHeight="1" x14ac:dyDescent="0.3">
      <c r="D910" s="17"/>
    </row>
    <row r="911" spans="4:4" ht="14.25" customHeight="1" x14ac:dyDescent="0.3">
      <c r="D911" s="17"/>
    </row>
    <row r="912" spans="4:4" ht="14.25" customHeight="1" x14ac:dyDescent="0.3">
      <c r="D912" s="17"/>
    </row>
    <row r="913" spans="4:4" ht="14.25" customHeight="1" x14ac:dyDescent="0.3">
      <c r="D913" s="17"/>
    </row>
    <row r="914" spans="4:4" ht="14.25" customHeight="1" x14ac:dyDescent="0.3">
      <c r="D914" s="17"/>
    </row>
    <row r="915" spans="4:4" ht="14.25" customHeight="1" x14ac:dyDescent="0.3">
      <c r="D915" s="17"/>
    </row>
    <row r="916" spans="4:4" ht="14.25" customHeight="1" x14ac:dyDescent="0.3">
      <c r="D916" s="17"/>
    </row>
    <row r="917" spans="4:4" ht="14.25" customHeight="1" x14ac:dyDescent="0.3">
      <c r="D917" s="17"/>
    </row>
    <row r="918" spans="4:4" ht="14.25" customHeight="1" x14ac:dyDescent="0.3">
      <c r="D918" s="17"/>
    </row>
    <row r="919" spans="4:4" ht="14.25" customHeight="1" x14ac:dyDescent="0.3">
      <c r="D919" s="17"/>
    </row>
    <row r="920" spans="4:4" ht="14.25" customHeight="1" x14ac:dyDescent="0.3">
      <c r="D920" s="17"/>
    </row>
    <row r="921" spans="4:4" ht="14.25" customHeight="1" x14ac:dyDescent="0.3">
      <c r="D921" s="17"/>
    </row>
    <row r="922" spans="4:4" ht="14.25" customHeight="1" x14ac:dyDescent="0.3">
      <c r="D922" s="17"/>
    </row>
    <row r="923" spans="4:4" ht="14.25" customHeight="1" x14ac:dyDescent="0.3">
      <c r="D923" s="17"/>
    </row>
    <row r="924" spans="4:4" ht="14.25" customHeight="1" x14ac:dyDescent="0.3">
      <c r="D924" s="17"/>
    </row>
    <row r="925" spans="4:4" ht="14.25" customHeight="1" x14ac:dyDescent="0.3">
      <c r="D925" s="17"/>
    </row>
    <row r="926" spans="4:4" ht="14.25" customHeight="1" x14ac:dyDescent="0.3">
      <c r="D926" s="17"/>
    </row>
    <row r="927" spans="4:4" ht="14.25" customHeight="1" x14ac:dyDescent="0.3">
      <c r="D927" s="17"/>
    </row>
    <row r="928" spans="4:4" ht="14.25" customHeight="1" x14ac:dyDescent="0.3">
      <c r="D928" s="17"/>
    </row>
    <row r="929" spans="4:4" ht="14.25" customHeight="1" x14ac:dyDescent="0.3">
      <c r="D929" s="17"/>
    </row>
    <row r="930" spans="4:4" ht="14.25" customHeight="1" x14ac:dyDescent="0.3">
      <c r="D930" s="17"/>
    </row>
    <row r="931" spans="4:4" ht="14.25" customHeight="1" x14ac:dyDescent="0.3">
      <c r="D931" s="17"/>
    </row>
    <row r="932" spans="4:4" ht="14.25" customHeight="1" x14ac:dyDescent="0.3">
      <c r="D932" s="17"/>
    </row>
    <row r="933" spans="4:4" ht="14.25" customHeight="1" x14ac:dyDescent="0.3">
      <c r="D933" s="17"/>
    </row>
    <row r="934" spans="4:4" ht="14.25" customHeight="1" x14ac:dyDescent="0.3">
      <c r="D934" s="17"/>
    </row>
    <row r="935" spans="4:4" ht="14.25" customHeight="1" x14ac:dyDescent="0.3">
      <c r="D935" s="17"/>
    </row>
    <row r="936" spans="4:4" ht="14.25" customHeight="1" x14ac:dyDescent="0.3">
      <c r="D936" s="17"/>
    </row>
    <row r="937" spans="4:4" ht="14.25" customHeight="1" x14ac:dyDescent="0.3">
      <c r="D937" s="17"/>
    </row>
    <row r="938" spans="4:4" ht="14.25" customHeight="1" x14ac:dyDescent="0.3">
      <c r="D938" s="17"/>
    </row>
    <row r="939" spans="4:4" ht="14.25" customHeight="1" x14ac:dyDescent="0.3">
      <c r="D939" s="17"/>
    </row>
    <row r="940" spans="4:4" ht="14.25" customHeight="1" x14ac:dyDescent="0.3">
      <c r="D940" s="17"/>
    </row>
    <row r="941" spans="4:4" ht="14.25" customHeight="1" x14ac:dyDescent="0.3">
      <c r="D941" s="17"/>
    </row>
    <row r="942" spans="4:4" ht="14.25" customHeight="1" x14ac:dyDescent="0.3">
      <c r="D942" s="17"/>
    </row>
    <row r="943" spans="4:4" ht="14.25" customHeight="1" x14ac:dyDescent="0.3">
      <c r="D943" s="17"/>
    </row>
    <row r="944" spans="4:4" ht="14.25" customHeight="1" x14ac:dyDescent="0.3">
      <c r="D944" s="17"/>
    </row>
    <row r="945" spans="4:4" ht="14.25" customHeight="1" x14ac:dyDescent="0.3">
      <c r="D945" s="17"/>
    </row>
    <row r="946" spans="4:4" ht="14.25" customHeight="1" x14ac:dyDescent="0.3">
      <c r="D946" s="17"/>
    </row>
    <row r="947" spans="4:4" ht="14.25" customHeight="1" x14ac:dyDescent="0.3">
      <c r="D947" s="17"/>
    </row>
    <row r="948" spans="4:4" ht="14.25" customHeight="1" x14ac:dyDescent="0.3">
      <c r="D948" s="17"/>
    </row>
    <row r="949" spans="4:4" ht="14.25" customHeight="1" x14ac:dyDescent="0.3">
      <c r="D949" s="17"/>
    </row>
    <row r="950" spans="4:4" ht="14.25" customHeight="1" x14ac:dyDescent="0.3">
      <c r="D950" s="17"/>
    </row>
    <row r="951" spans="4:4" ht="14.25" customHeight="1" x14ac:dyDescent="0.3">
      <c r="D951" s="17"/>
    </row>
    <row r="952" spans="4:4" ht="14.25" customHeight="1" x14ac:dyDescent="0.3">
      <c r="D952" s="17"/>
    </row>
    <row r="953" spans="4:4" ht="14.25" customHeight="1" x14ac:dyDescent="0.3">
      <c r="D953" s="17"/>
    </row>
    <row r="954" spans="4:4" ht="14.25" customHeight="1" x14ac:dyDescent="0.3">
      <c r="D954" s="17"/>
    </row>
    <row r="955" spans="4:4" ht="14.25" customHeight="1" x14ac:dyDescent="0.3">
      <c r="D955" s="17"/>
    </row>
    <row r="956" spans="4:4" ht="14.25" customHeight="1" x14ac:dyDescent="0.3">
      <c r="D956" s="17"/>
    </row>
    <row r="957" spans="4:4" ht="14.25" customHeight="1" x14ac:dyDescent="0.3">
      <c r="D957" s="17"/>
    </row>
    <row r="958" spans="4:4" ht="14.25" customHeight="1" x14ac:dyDescent="0.3">
      <c r="D958" s="17"/>
    </row>
    <row r="959" spans="4:4" ht="14.25" customHeight="1" x14ac:dyDescent="0.3">
      <c r="D959" s="17"/>
    </row>
    <row r="960" spans="4:4" ht="14.25" customHeight="1" x14ac:dyDescent="0.3">
      <c r="D960" s="17"/>
    </row>
    <row r="961" spans="4:4" ht="14.25" customHeight="1" x14ac:dyDescent="0.3">
      <c r="D961" s="17"/>
    </row>
    <row r="962" spans="4:4" ht="14.25" customHeight="1" x14ac:dyDescent="0.3">
      <c r="D962" s="17"/>
    </row>
    <row r="963" spans="4:4" ht="14.25" customHeight="1" x14ac:dyDescent="0.3">
      <c r="D963" s="17"/>
    </row>
    <row r="964" spans="4:4" ht="14.25" customHeight="1" x14ac:dyDescent="0.3">
      <c r="D964" s="17"/>
    </row>
    <row r="965" spans="4:4" ht="14.25" customHeight="1" x14ac:dyDescent="0.3">
      <c r="D965" s="17"/>
    </row>
    <row r="966" spans="4:4" ht="14.25" customHeight="1" x14ac:dyDescent="0.3">
      <c r="D966" s="17"/>
    </row>
    <row r="967" spans="4:4" ht="14.25" customHeight="1" x14ac:dyDescent="0.3">
      <c r="D967" s="17"/>
    </row>
    <row r="968" spans="4:4" ht="14.25" customHeight="1" x14ac:dyDescent="0.3">
      <c r="D968" s="17"/>
    </row>
    <row r="969" spans="4:4" ht="14.25" customHeight="1" x14ac:dyDescent="0.3">
      <c r="D969" s="17"/>
    </row>
    <row r="970" spans="4:4" ht="14.25" customHeight="1" x14ac:dyDescent="0.3">
      <c r="D970" s="17"/>
    </row>
    <row r="971" spans="4:4" ht="14.25" customHeight="1" x14ac:dyDescent="0.3">
      <c r="D971" s="17"/>
    </row>
    <row r="972" spans="4:4" ht="14.25" customHeight="1" x14ac:dyDescent="0.3">
      <c r="D972" s="17"/>
    </row>
    <row r="973" spans="4:4" ht="14.25" customHeight="1" x14ac:dyDescent="0.3">
      <c r="D973" s="17"/>
    </row>
    <row r="974" spans="4:4" ht="14.25" customHeight="1" x14ac:dyDescent="0.3">
      <c r="D974" s="17"/>
    </row>
    <row r="975" spans="4:4" ht="14.25" customHeight="1" x14ac:dyDescent="0.3">
      <c r="D975" s="17"/>
    </row>
    <row r="976" spans="4:4" ht="14.25" customHeight="1" x14ac:dyDescent="0.3">
      <c r="D976" s="17"/>
    </row>
    <row r="977" spans="4:4" ht="14.25" customHeight="1" x14ac:dyDescent="0.3">
      <c r="D977" s="17"/>
    </row>
    <row r="978" spans="4:4" ht="14.25" customHeight="1" x14ac:dyDescent="0.3">
      <c r="D978" s="17"/>
    </row>
    <row r="979" spans="4:4" ht="14.25" customHeight="1" x14ac:dyDescent="0.3">
      <c r="D979" s="17"/>
    </row>
    <row r="980" spans="4:4" ht="14.25" customHeight="1" x14ac:dyDescent="0.3">
      <c r="D980" s="17"/>
    </row>
    <row r="981" spans="4:4" ht="14.25" customHeight="1" x14ac:dyDescent="0.3">
      <c r="D981" s="17"/>
    </row>
    <row r="982" spans="4:4" ht="14.25" customHeight="1" x14ac:dyDescent="0.3">
      <c r="D982" s="17"/>
    </row>
    <row r="983" spans="4:4" ht="14.25" customHeight="1" x14ac:dyDescent="0.3">
      <c r="D983" s="17"/>
    </row>
    <row r="984" spans="4:4" ht="14.25" customHeight="1" x14ac:dyDescent="0.3">
      <c r="D984" s="17"/>
    </row>
    <row r="985" spans="4:4" ht="14.25" customHeight="1" x14ac:dyDescent="0.3">
      <c r="D985" s="17"/>
    </row>
    <row r="986" spans="4:4" ht="14.25" customHeight="1" x14ac:dyDescent="0.3">
      <c r="D986" s="17"/>
    </row>
    <row r="987" spans="4:4" ht="14.25" customHeight="1" x14ac:dyDescent="0.3">
      <c r="D987" s="17"/>
    </row>
    <row r="988" spans="4:4" ht="14.25" customHeight="1" x14ac:dyDescent="0.3">
      <c r="D988" s="17"/>
    </row>
    <row r="989" spans="4:4" ht="14.25" customHeight="1" x14ac:dyDescent="0.3">
      <c r="D989" s="17"/>
    </row>
    <row r="990" spans="4:4" ht="14.25" customHeight="1" x14ac:dyDescent="0.3">
      <c r="D990" s="17"/>
    </row>
    <row r="991" spans="4:4" ht="14.25" customHeight="1" x14ac:dyDescent="0.3">
      <c r="D991" s="17"/>
    </row>
    <row r="992" spans="4:4" ht="14.25" customHeight="1" x14ac:dyDescent="0.3">
      <c r="D992" s="17"/>
    </row>
    <row r="993" spans="4:4" ht="14.25" customHeight="1" x14ac:dyDescent="0.3">
      <c r="D993" s="17"/>
    </row>
    <row r="994" spans="4:4" ht="14.25" customHeight="1" x14ac:dyDescent="0.3">
      <c r="D994" s="17"/>
    </row>
    <row r="995" spans="4:4" ht="14.25" customHeight="1" x14ac:dyDescent="0.3">
      <c r="D995" s="17"/>
    </row>
    <row r="996" spans="4:4" ht="14.25" customHeight="1" x14ac:dyDescent="0.3">
      <c r="D996" s="17"/>
    </row>
    <row r="997" spans="4:4" ht="14.25" customHeight="1" x14ac:dyDescent="0.3">
      <c r="D997" s="17"/>
    </row>
    <row r="998" spans="4:4" ht="14.25" customHeight="1" x14ac:dyDescent="0.3">
      <c r="D998" s="17"/>
    </row>
    <row r="999" spans="4:4" ht="14.25" customHeight="1" x14ac:dyDescent="0.3">
      <c r="D999" s="17"/>
    </row>
    <row r="1000" spans="4:4" ht="14.25" customHeight="1" x14ac:dyDescent="0.3">
      <c r="D1000" s="17"/>
    </row>
  </sheetData>
  <mergeCells count="22">
    <mergeCell ref="C1:F1"/>
    <mergeCell ref="C2:F2"/>
    <mergeCell ref="A4:F4"/>
    <mergeCell ref="D6:F6"/>
    <mergeCell ref="D7:F7"/>
    <mergeCell ref="B8:F8"/>
    <mergeCell ref="B9:F9"/>
    <mergeCell ref="C44:F44"/>
    <mergeCell ref="C45:F46"/>
    <mergeCell ref="A47:F47"/>
    <mergeCell ref="A39:F39"/>
    <mergeCell ref="A40:F40"/>
    <mergeCell ref="A42:F42"/>
    <mergeCell ref="A43:B43"/>
    <mergeCell ref="C43:F43"/>
    <mergeCell ref="A44:B44"/>
    <mergeCell ref="A45:B45"/>
    <mergeCell ref="A48:F48"/>
    <mergeCell ref="A49:F49"/>
    <mergeCell ref="A50:F50"/>
    <mergeCell ref="A51:F51"/>
    <mergeCell ref="A52:F52"/>
  </mergeCells>
  <printOptions horizontalCentered="1"/>
  <pageMargins left="0.4" right="0.4" top="0.4" bottom="0.4" header="0" footer="0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ITEMIZADO INTERNO</vt:lpstr>
      <vt:lpstr>COTIZACION 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Bitterlich</dc:creator>
  <cp:lastModifiedBy>Ismael Barra</cp:lastModifiedBy>
  <dcterms:created xsi:type="dcterms:W3CDTF">2026-05-30T00:25:18Z</dcterms:created>
  <dcterms:modified xsi:type="dcterms:W3CDTF">2026-06-04T15:28:14Z</dcterms:modified>
</cp:coreProperties>
</file>